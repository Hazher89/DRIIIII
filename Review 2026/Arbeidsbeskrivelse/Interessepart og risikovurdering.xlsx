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avi.landax.no/webdav/webdav6712219a79de6/mavi/DirectDocument/r/Versions/374/"/>
    </mc:Choice>
  </mc:AlternateContent>
  <xr:revisionPtr revIDLastSave="0" documentId="13_ncr:1_{E9F7E7DD-1E7C-4141-AB51-95966F66C989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Interesseparter-risiko" sheetId="1" r:id="rId1"/>
    <sheet name="Interne og eksterne forhold" sheetId="7" r:id="rId2"/>
    <sheet name="PROSESSER" sheetId="8" r:id="rId3"/>
  </sheets>
  <definedNames>
    <definedName name="_xlnm._FilterDatabase" localSheetId="0" hidden="1">'Interesseparter-risiko'!$A$2:$S$32</definedName>
    <definedName name="_xlnm._FilterDatabase" localSheetId="1" hidden="1">'Interne og eksterne forhold'!$A$1:$Q$22</definedName>
    <definedName name="Arbeidsmiljø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3" i="1" l="1"/>
  <c r="H33" i="1"/>
  <c r="G23" i="7"/>
  <c r="P22" i="1"/>
  <c r="H22" i="1"/>
  <c r="O17" i="7"/>
  <c r="O16" i="7"/>
  <c r="G17" i="7"/>
  <c r="G16" i="7"/>
  <c r="O13" i="7"/>
  <c r="G13" i="7"/>
  <c r="H17" i="1"/>
  <c r="P16" i="1"/>
  <c r="H16" i="1"/>
  <c r="M35" i="8"/>
  <c r="H35" i="8"/>
  <c r="M34" i="8"/>
  <c r="H34" i="8"/>
  <c r="M33" i="8"/>
  <c r="H33" i="8"/>
  <c r="M32" i="8"/>
  <c r="H32" i="8"/>
  <c r="M31" i="8"/>
  <c r="H31" i="8"/>
  <c r="M30" i="8"/>
  <c r="H30" i="8"/>
  <c r="M28" i="8"/>
  <c r="H28" i="8"/>
  <c r="M27" i="8"/>
  <c r="H27" i="8"/>
  <c r="M26" i="8"/>
  <c r="H26" i="8"/>
  <c r="M23" i="8"/>
  <c r="H23" i="8"/>
  <c r="M22" i="8"/>
  <c r="H22" i="8"/>
  <c r="M21" i="8"/>
  <c r="H21" i="8"/>
  <c r="M20" i="8"/>
  <c r="H20" i="8"/>
  <c r="M19" i="8"/>
  <c r="H19" i="8"/>
  <c r="M18" i="8"/>
  <c r="H18" i="8"/>
  <c r="M17" i="8"/>
  <c r="H17" i="8"/>
  <c r="M16" i="8"/>
  <c r="H16" i="8"/>
  <c r="M15" i="8"/>
  <c r="H15" i="8"/>
  <c r="M14" i="8"/>
  <c r="H14" i="8"/>
  <c r="M13" i="8"/>
  <c r="H13" i="8"/>
  <c r="M12" i="8"/>
  <c r="H12" i="8"/>
  <c r="M11" i="8"/>
  <c r="H11" i="8"/>
  <c r="M10" i="8"/>
  <c r="H10" i="8"/>
  <c r="M8" i="8"/>
  <c r="H8" i="8"/>
  <c r="M7" i="8"/>
  <c r="H7" i="8"/>
  <c r="M6" i="8"/>
  <c r="H6" i="8"/>
  <c r="M5" i="8"/>
  <c r="H5" i="8"/>
  <c r="M4" i="8"/>
  <c r="H4" i="8"/>
  <c r="M3" i="8"/>
  <c r="H3" i="8"/>
  <c r="G22" i="7"/>
  <c r="O22" i="7"/>
  <c r="P5" i="1"/>
  <c r="H5" i="1"/>
  <c r="P4" i="1"/>
  <c r="H4" i="1"/>
  <c r="P10" i="1"/>
  <c r="P9" i="1"/>
  <c r="O5" i="7"/>
  <c r="O6" i="7"/>
  <c r="O7" i="7"/>
  <c r="O8" i="7"/>
  <c r="O9" i="7"/>
  <c r="O10" i="7"/>
  <c r="O11" i="7"/>
  <c r="O12" i="7"/>
  <c r="O14" i="7"/>
  <c r="O15" i="7"/>
  <c r="O18" i="7"/>
  <c r="O19" i="7"/>
  <c r="O20" i="7"/>
  <c r="O21" i="7"/>
  <c r="G18" i="7"/>
  <c r="G19" i="7"/>
  <c r="G20" i="7"/>
  <c r="G21" i="7"/>
  <c r="G5" i="7"/>
  <c r="G6" i="7"/>
  <c r="G7" i="7"/>
  <c r="G8" i="7"/>
  <c r="G9" i="7"/>
  <c r="P13" i="1"/>
  <c r="P14" i="1"/>
  <c r="P15" i="1"/>
  <c r="P18" i="1"/>
  <c r="P19" i="1"/>
  <c r="P20" i="1"/>
  <c r="P21" i="1"/>
  <c r="P23" i="1"/>
  <c r="P24" i="1"/>
  <c r="P12" i="1"/>
  <c r="H19" i="1"/>
  <c r="H20" i="1"/>
  <c r="H21" i="1"/>
  <c r="H23" i="1"/>
  <c r="H24" i="1"/>
  <c r="H12" i="1"/>
  <c r="P32" i="1"/>
  <c r="P31" i="1"/>
  <c r="P30" i="1"/>
  <c r="P29" i="1"/>
  <c r="H32" i="1"/>
  <c r="H31" i="1"/>
  <c r="H30" i="1"/>
  <c r="H29" i="1"/>
  <c r="G15" i="7"/>
  <c r="G12" i="7"/>
  <c r="G11" i="7"/>
  <c r="G10" i="7"/>
  <c r="O4" i="7"/>
  <c r="G4" i="7"/>
  <c r="P28" i="1"/>
  <c r="P27" i="1"/>
  <c r="P26" i="1"/>
  <c r="P8" i="1"/>
  <c r="P7" i="1"/>
  <c r="P6" i="1"/>
  <c r="H7" i="1"/>
  <c r="H10" i="1"/>
  <c r="H13" i="1"/>
  <c r="H14" i="1"/>
  <c r="H15" i="1"/>
  <c r="H18" i="1"/>
  <c r="H26" i="1"/>
  <c r="H27" i="1"/>
  <c r="H28" i="1"/>
  <c r="H8" i="1"/>
  <c r="H9" i="1"/>
  <c r="H6" i="1"/>
</calcChain>
</file>

<file path=xl/sharedStrings.xml><?xml version="1.0" encoding="utf-8"?>
<sst xmlns="http://schemas.openxmlformats.org/spreadsheetml/2006/main" count="677" uniqueCount="425">
  <si>
    <t>Interessepart</t>
  </si>
  <si>
    <t>Muligheter</t>
  </si>
  <si>
    <t>Eiere</t>
  </si>
  <si>
    <t>Styret</t>
  </si>
  <si>
    <t>Godt arbeidsmiljø</t>
  </si>
  <si>
    <t>Prosess</t>
  </si>
  <si>
    <t>Risiko - kritiske vurderinger</t>
  </si>
  <si>
    <t>Interne og eksterne interesseparter - krav - risiko - muligheter</t>
  </si>
  <si>
    <t>Eksterne interesseparter</t>
  </si>
  <si>
    <t>Interne interesseparter</t>
  </si>
  <si>
    <t>Ansatte</t>
  </si>
  <si>
    <t>Trygg og sikker arbeidsplass</t>
  </si>
  <si>
    <t>Ansvarlig</t>
  </si>
  <si>
    <t>Frist</t>
  </si>
  <si>
    <t>Eksisterende tiltak</t>
  </si>
  <si>
    <t>Status
(arbeidskolonne)</t>
  </si>
  <si>
    <t>Konsekvens
(1-3,10)</t>
  </si>
  <si>
    <t>Sannsynlighet
 (1-3)</t>
  </si>
  <si>
    <t>Risiko
(1-30)</t>
  </si>
  <si>
    <t>Sannsynllighet
etter tiltak
 (1-3)</t>
  </si>
  <si>
    <t>Konsekvens
etter tiltak
(1-3,10)</t>
  </si>
  <si>
    <t>Restrisiko
etter tiltak
(1-30)</t>
  </si>
  <si>
    <t>Krav &amp; forventninger</t>
  </si>
  <si>
    <t>Interne forhold</t>
  </si>
  <si>
    <t>Eksterne forhold</t>
  </si>
  <si>
    <t>Forhold</t>
  </si>
  <si>
    <t>Ingen kjente</t>
  </si>
  <si>
    <t>Håndtering av informasjon i datasystemer</t>
  </si>
  <si>
    <t>Tap av tid dersom systemene går ned eller det er feil i systemene</t>
  </si>
  <si>
    <t>Interne og eksterne forhold - risiko - muligheter</t>
  </si>
  <si>
    <t>Vedlikeholde sertifikatene</t>
  </si>
  <si>
    <t>Flere aktører</t>
  </si>
  <si>
    <t>Endrede markedsforhold</t>
  </si>
  <si>
    <t>At bedriften har bevissthet og kontroll på det som kreves i forhold til marked og markedstilpasninger</t>
  </si>
  <si>
    <t>At bedriften har og opprettholder et positivt omdømme</t>
  </si>
  <si>
    <t>Gode arbeidsforhold</t>
  </si>
  <si>
    <t>Ved mangler blir det tap av opparbeidet intern kompetanse og høy grad av turnover.</t>
  </si>
  <si>
    <t>Attraktiv arbeidsplass gir tilflyt av kompetanse og stabile ressurser</t>
  </si>
  <si>
    <t>Myndigheter og tilsyn</t>
  </si>
  <si>
    <t>Etterleve lovkrav</t>
  </si>
  <si>
    <t>Et velfungerende styringssystem for internkontroll og kvalitet</t>
  </si>
  <si>
    <t>Kvalitet</t>
  </si>
  <si>
    <t>Interessant arbeidsplass</t>
  </si>
  <si>
    <t>Skuffelse og misnøye ved mangelfull oppfølging</t>
  </si>
  <si>
    <t>Karriere</t>
  </si>
  <si>
    <t>Attraktive mennesker søker seg til og forblir i bedriften</t>
  </si>
  <si>
    <t>Fysisk og psykisk personskade.</t>
  </si>
  <si>
    <t>Bevissthet og gode rutiner</t>
  </si>
  <si>
    <t>Utbrenthet</t>
  </si>
  <si>
    <t>Pårørende og andre familiemedlemmer</t>
  </si>
  <si>
    <t>Eiere og styret</t>
  </si>
  <si>
    <t>Kunde</t>
  </si>
  <si>
    <t>Samarbeidspartnere</t>
  </si>
  <si>
    <t>Bileiere (samme som «eiere»)</t>
  </si>
  <si>
    <t>Innleide transportselskaper</t>
  </si>
  <si>
    <t>Ansattes interesseorganisasjoner</t>
  </si>
  <si>
    <t>Naboer</t>
  </si>
  <si>
    <t>Grunneiere</t>
  </si>
  <si>
    <t>Samfunn</t>
  </si>
  <si>
    <t>Leveranse i henhold til avtale</t>
  </si>
  <si>
    <t>Ryddighet i avtaleverk, forutsigbarhet</t>
  </si>
  <si>
    <t>Ryddighet i avtaleverk, forutsigbarhet, godt tilrettelagt prosess i alle ledd i gjennomføringen av et transportoppdrag</t>
  </si>
  <si>
    <t>Godt samtaleklima og avtaler som fungerer etter hensikten</t>
  </si>
  <si>
    <t>Ivareta deres interesser gjennom lover og forskrifter og generell policy på god adferd</t>
  </si>
  <si>
    <t>En policy og praksis som ivaretar miljø og grunneieres eiendom</t>
  </si>
  <si>
    <t>Bidrar til veldedighet</t>
  </si>
  <si>
    <t>Dårlig rutiner og dokumentasjon, kan medføre bøter og straff</t>
  </si>
  <si>
    <t>Leverer ikke i tide eller med for dårlig kvalitet</t>
  </si>
  <si>
    <t>Mangelfull opplæring av sjåfører</t>
  </si>
  <si>
    <t xml:space="preserve">Manglefull involvering av ansattes interesseorganisasjoner </t>
  </si>
  <si>
    <t>Farlige utslipp, støy eller uforsvarlig kjøring med lastebil</t>
  </si>
  <si>
    <t>Forurensning av grunn i forbindelse med trafikkulykker</t>
  </si>
  <si>
    <t>Gjøre mer presise avtaler med de utvalgte</t>
  </si>
  <si>
    <t>Lage en møteplan og overholde denne</t>
  </si>
  <si>
    <t>Et avvikssystem som håndterer klassifisering og saksbehandling av hendelser i denne kategorien.</t>
  </si>
  <si>
    <t>Bevissthet rundt samfunn og nasjonale goder</t>
  </si>
  <si>
    <t>Forutsigbar arbeidstid, ferie og fritid samt frihet til utfoldelse på egne premisser</t>
  </si>
  <si>
    <t>Langsiktighet</t>
  </si>
  <si>
    <t>At deres nære relasjoner blir ivaretatt i henhold til et sundt og godt arbeidsmiljø</t>
  </si>
  <si>
    <t>Arbeidsro ved å ikke ha brydderi med myndigheter og riktig bruk av ressurser.</t>
  </si>
  <si>
    <t>Gjenkjøp og gode referanser i forbindelse med salg til andre kunder</t>
  </si>
  <si>
    <t>Kartlegge de viktige samarbeidspartnere</t>
  </si>
  <si>
    <t>Kursing i aktuelle tema</t>
  </si>
  <si>
    <t>Bruke ansattes kunnskap bedre</t>
  </si>
  <si>
    <t>Holde kontakt med naboene</t>
  </si>
  <si>
    <t>Godt renome</t>
  </si>
  <si>
    <t>Mangelfull fokus fra ledelsen på å gi muligheter</t>
  </si>
  <si>
    <t>Mangelfull kompetanse og oppfølging av ansettelsesforhold</t>
  </si>
  <si>
    <t>Ledelsen fører bedriften til reduksjon, konkurs eller opphør</t>
  </si>
  <si>
    <t>Pårørende blir utrygge og kan influere negativt på den ansatte</t>
  </si>
  <si>
    <t>Kommunisere arbeidsplassen egenskaper ut til samfunnet om dens gode sider</t>
  </si>
  <si>
    <t>Bevissthet rundt karriereplan ved at det er en felles sak mellom ledelse og arbeidstagere. Tilretteleggelse</t>
  </si>
  <si>
    <t>Strategi i henhold til alle langsiktighetsaspekter må forefinnes.</t>
  </si>
  <si>
    <t>Et velfungerende avvikssystem innen det generelle arbeidsmiljø og HMS.</t>
  </si>
  <si>
    <t>Attraktive mennesker søker til bedriften</t>
  </si>
  <si>
    <t>Lav turnover og forutsigbarhet for ledelsen</t>
  </si>
  <si>
    <t>Påvirke ansattes og familiers trygghet og livskvalitet som igjen virker positivt på hva de yter</t>
  </si>
  <si>
    <t>Opplagte arbeidere gir god og solid drift og «produksjon»</t>
  </si>
  <si>
    <t>Ledelsen har langsiktig strategi og planer for å gjøre riktige valg i både dårlige og gode tider</t>
  </si>
  <si>
    <t>Godt rennommé og gode erfaringer kan bevirke at bedriften oppsøkes, både av potensielle medarbeidere og av kunder</t>
  </si>
  <si>
    <t>Økonomisk lønnsomhet og soliditet</t>
  </si>
  <si>
    <t>Etterlevelse av en virkningsfull strategi og oppnåelse av egne definerte overordnede mål</t>
  </si>
  <si>
    <t>Nedgang i ordretilgang og nedleggelse</t>
  </si>
  <si>
    <t>Dårlig rykte er negativt i forhold til den tillit som skal til for å få ordre.</t>
  </si>
  <si>
    <t>Ved altfor bra resultater kan man bli for bakoverlent</t>
  </si>
  <si>
    <t>At bedriften er forberedt på fremtidens krav og opparbeider og innhenter kompetanse på hva som kan skje i forhold til markedet, men også oppdaterer sin faglige kompetanse</t>
  </si>
  <si>
    <t>Sette penger på bok underveis eller investere i noe som gir avkastning og dermed egenkapital</t>
  </si>
  <si>
    <t>Tydelig kommunisert policy og mål, jevnlige strategisamlinger med klar agenda</t>
  </si>
  <si>
    <t>Policy på arbeidsmiljø utarbeides og holdes i hevd av ledelsen</t>
  </si>
  <si>
    <t>Satsing på flere og nye markeder med flere produkter vil kunne gjøre bedriften mere robust</t>
  </si>
  <si>
    <t>Stort handlingsrom på videre utvikling av bedriften</t>
  </si>
  <si>
    <t>Resultater og systematisk fremgang motiverer alle medarbeidere. God sirkel.</t>
  </si>
  <si>
    <t xml:space="preserve">Engasjement fra medarbeidere </t>
  </si>
  <si>
    <t>Forankring og oppfølging av ISO-krav i ledelsen</t>
  </si>
  <si>
    <t>Språkbarrieren</t>
  </si>
  <si>
    <t>Kompetanse og personalforvaltning</t>
  </si>
  <si>
    <t>IT-verktøy</t>
  </si>
  <si>
    <t>Engasjement øker gjerne kompetansen, og fører til bedre resultater</t>
  </si>
  <si>
    <t>Organisasjonen vil benytte ISO som sin «lærebok» i hvordan kvalitetsarbeidet skal foregå</t>
  </si>
  <si>
    <t>God leveranse ved god styring av ressurser. Vedtatte mål på KPI ‘r blir innfridd</t>
  </si>
  <si>
    <t>God Datakvalitet gir tiltrengt informasjon som et godt beslutningsgrunnlag</t>
  </si>
  <si>
    <t>Mulig positiv påvirkning - muligheter</t>
  </si>
  <si>
    <t xml:space="preserve">Mangelfull kommunikasjon og misforståelser internt og med interesseparter.   </t>
  </si>
  <si>
    <t>Vant til annen arbeidskultur. Trenger mer opplæring og holdningsendringer.</t>
  </si>
  <si>
    <t>Vedtatte mål KPI ‘r bli ikke innfridd</t>
  </si>
  <si>
    <t xml:space="preserve">Mangler i datakvalitet gir upålitelig resultatdokumentasjon og kan føre til mangelfullt beslutningsgrunnlag. </t>
  </si>
  <si>
    <t>Presisjon gir lite tidstap og sikker kommunikasjon om saker og data</t>
  </si>
  <si>
    <t>Bevissthet hos ledelsen på å tilrettelegge for de forskjellige roller</t>
  </si>
  <si>
    <t xml:space="preserve">Intern opplæring på områder som gir utslag på datakvalitet
 </t>
  </si>
  <si>
    <t>Skjerpede kundekrav til utstyr og kompetanse</t>
  </si>
  <si>
    <t>Vi må ha en kontinuerlig prosesse med å finne nye muligheter og etablere flere ben å stå på.</t>
  </si>
  <si>
    <t>Motivere til endringer og ny kunnskap</t>
  </si>
  <si>
    <t>Sikrer så rettferdig som mulig konkurranseforhold</t>
  </si>
  <si>
    <t xml:space="preserve">Selskapet har en mal å måle seg opp mot i kvalitetsarbeidet. Står sterkere i forhold til tillit i markedet. </t>
  </si>
  <si>
    <t>Vanskeligere å få ordre og dermed redusert omsetning</t>
  </si>
  <si>
    <t>Uforutsigbart pengeforbruk og internt ressursforbruk</t>
  </si>
  <si>
    <t>Kontinuerlig systematisk oppbevaring og gjenbruk av gode salgselementer. Bevissthet på disse utfordringene gir større odds</t>
  </si>
  <si>
    <t>Et bevisst forhold til endringsvillighet og det bør også til enhver tid foreligge en strategi om å tåle slike forhold</t>
  </si>
  <si>
    <t>Være forhåndsinnstilt på endringsprosesser</t>
  </si>
  <si>
    <t>Lovkrav og forskrifter</t>
  </si>
  <si>
    <t>Sosoiale forhold og kultur. Ansatte som er av utenlandsk opprinnelse.</t>
  </si>
  <si>
    <t>Risikoreduserende tiltak</t>
  </si>
  <si>
    <t>signere avtale</t>
  </si>
  <si>
    <t>holde sjåførkurs</t>
  </si>
  <si>
    <t>HF</t>
  </si>
  <si>
    <t>KO</t>
  </si>
  <si>
    <t>TT</t>
  </si>
  <si>
    <t>Ansvar</t>
  </si>
  <si>
    <t>ØN</t>
  </si>
  <si>
    <t>Sertifikatene  ISO 9001:2015,                    ISO 14001:2015</t>
  </si>
  <si>
    <t>Bli ISO sertifisert 14001</t>
  </si>
  <si>
    <t>KJØ</t>
  </si>
  <si>
    <t>bedre tilpasset opplæring</t>
  </si>
  <si>
    <t>Nærmeste leder</t>
  </si>
  <si>
    <t>Opplg medarb samtaler</t>
  </si>
  <si>
    <t>Q1 2018</t>
  </si>
  <si>
    <t>Ha bevistthet om dette</t>
  </si>
  <si>
    <t>Involvwere løpende v endringer</t>
  </si>
  <si>
    <t>bruke medarb samtalen</t>
  </si>
  <si>
    <t>Nærmeste leder + HR sjef</t>
  </si>
  <si>
    <t>god kommunikasjon og involvering, samspill</t>
  </si>
  <si>
    <t>opplæring</t>
  </si>
  <si>
    <t>Kurs</t>
  </si>
  <si>
    <t>Holde igjen bil</t>
  </si>
  <si>
    <t>Ledergruppediskuterer og iverksetter tiltak.</t>
  </si>
  <si>
    <t>Adm dir</t>
  </si>
  <si>
    <t>Strategidiskusjon i ledergruppe. Lage plan for rekkruttering av riktig kompetanse i forhold til strategi og framtidig markedskrav.</t>
  </si>
  <si>
    <t>Ledergruppe diskuterer strategi</t>
  </si>
  <si>
    <t>HR Plan</t>
  </si>
  <si>
    <t>Arbeidsmøte og styrebehandling</t>
  </si>
  <si>
    <t>Beslutning. Kommunikasjon i organisasjonen.</t>
  </si>
  <si>
    <t>Medarbeidertilfredashetsmålinger.</t>
  </si>
  <si>
    <t>Gjennomføre måling og følge opp i avdelinger.</t>
  </si>
  <si>
    <t>Q2 2018</t>
  </si>
  <si>
    <t>Utarbeidelse av leverandør/ transportør avtaler. Styrebehandling. Møter med transportører.</t>
  </si>
  <si>
    <t>Sende ut på høring og skaffe underskrifter fra transportører.</t>
  </si>
  <si>
    <t>Sikre at alle deler av virksomheten kjenner lovkrav (samsvars modul). Ansvarligjøre delansvar for områder/lover.</t>
  </si>
  <si>
    <t>Driftssjef</t>
  </si>
  <si>
    <t>9 / 14</t>
  </si>
  <si>
    <t>Styringsystem og planer</t>
  </si>
  <si>
    <t>Internkontroll</t>
  </si>
  <si>
    <t>At arbeidsgiveransvar blir ivaretatt</t>
  </si>
  <si>
    <t>Pålegg fra arbeidstilsyn og lovbrudd ved manglende etterlevelser</t>
  </si>
  <si>
    <t>Styringssystem og planer</t>
  </si>
  <si>
    <t>9</t>
  </si>
  <si>
    <t>45</t>
  </si>
  <si>
    <t>14 / 9</t>
  </si>
  <si>
    <t>14</t>
  </si>
  <si>
    <t>9 / 14 / 45</t>
  </si>
  <si>
    <t>Systemtilknytning (9001 / 14001)</t>
  </si>
  <si>
    <t xml:space="preserve">Manglende vedlikehold av system for å holde sertifikatet i hevd </t>
  </si>
  <si>
    <t>Jobbe med bevissthet i alle ledd.</t>
  </si>
  <si>
    <t>Sertifisering i henhold til 14001</t>
  </si>
  <si>
    <t>Ansvarlig for analysen</t>
  </si>
  <si>
    <t>Daglig leder</t>
  </si>
  <si>
    <t>Daglig oppfølging av samarbeidspartnere og arbeid med KPI rapporter</t>
  </si>
  <si>
    <t>Mer salg og tilfredshet i vårt samarbeid med kunde</t>
  </si>
  <si>
    <t>Internt</t>
  </si>
  <si>
    <t>Utarbeide policy for dette og vedlikeholde den.</t>
  </si>
  <si>
    <t>Positivt omdømme er salgsfremmende og kan trekke til seg kunder og dyktige medarbeidere</t>
  </si>
  <si>
    <t>Mangelfull tilbakemelding fra eiere kan utsette iverksettelse og skuffe de ansatte i organisasjonen</t>
  </si>
  <si>
    <t>Svake resultater på våre KPIer setter oss i dårlig lys ovenfor våre kunder</t>
  </si>
  <si>
    <t>Kartlegge gjengående sjåfører, lære opp eget personell for å følge opp</t>
  </si>
  <si>
    <t>Skaffe ressurser nok til å kunne følge opp og beskrive rutiner</t>
  </si>
  <si>
    <t>Kostnader ved underkjent/mangelfull leveranse samt manglende tillitt hos våre kunder</t>
  </si>
  <si>
    <t>Løpende utviklingssamtaler samt styrke vår kultur</t>
  </si>
  <si>
    <t>Gjennomføre intern opplæring</t>
  </si>
  <si>
    <t>Samsvar med arbeidsmiljølov og synliggjøre forpliktelsene fra alle til alle. Sikre god oppfølging med samtaler og sosialt miljø</t>
  </si>
  <si>
    <t xml:space="preserve"> </t>
  </si>
  <si>
    <t xml:space="preserve">Det kan virke tungt og komplisert og omfattende for en liten bedrift. </t>
  </si>
  <si>
    <t>Det vektlegges å  kommunisere samt ha kultur for kvalitetsarbeid til alle medarbeidere.</t>
  </si>
  <si>
    <t>Kan være mer ivrige</t>
  </si>
  <si>
    <t>Gode rapporter på kompetanse samt et bevisst forhold til informasjon som kan påvirke arbeidsmiljøet. Systematisk opplæring ut fra en kompetansekartlegging</t>
  </si>
  <si>
    <t>Beredskap og nok ressurser til å håndtere dette</t>
  </si>
  <si>
    <t>God kunnskap og relasjon opplæringsansvarlig i organisasjonen</t>
  </si>
  <si>
    <t>Konsekvenser i form av tapt tid, penger eller tillitt hos våre kunder</t>
  </si>
  <si>
    <t>Bevissthet og et godt saksbehandlingssystem (avvikssystem)</t>
  </si>
  <si>
    <t>Avvik fra samarbeidspartnere</t>
  </si>
  <si>
    <t>Kan danne grunnlag for felles læring sammen med samarbeidspartner for å oppnå langsiktighet i høyere kvalitet på relasjonen og eventuelt det som leveres.</t>
  </si>
  <si>
    <t xml:space="preserve">Konkurranse skjerper oss i retninga av kvalitet i alle ledd </t>
  </si>
  <si>
    <t>Uforutsigbarhet og manglende kompetanse på det som eventuelt endringene krever kan skape usikkerhet</t>
  </si>
  <si>
    <t xml:space="preserve">Bruk av et god samsvars modul i styringssystemet. </t>
  </si>
  <si>
    <t>Omstillingsbehov kan stresse bedriften og få økonomisk konsekvens og skape manglende kompetanse</t>
  </si>
  <si>
    <t>Sikre tydelig opplæring og språkbarriere iht kompetanseoversikt</t>
  </si>
  <si>
    <t>Tilpasninger i forhold til kulturforskjeller.</t>
  </si>
  <si>
    <t>Fordele ansvar for oppfølging</t>
  </si>
  <si>
    <t>Kontroll og oppfølging i Altinn</t>
  </si>
  <si>
    <t>Etterstrebe en mest mulig moderne bilpark</t>
  </si>
  <si>
    <t>Kjøreleder/opplæringsansvarlig</t>
  </si>
  <si>
    <t>Q3 og Q4 2022</t>
  </si>
  <si>
    <t>Styremøte med oppfølging i avdelinger.</t>
  </si>
  <si>
    <t>Styreleder</t>
  </si>
  <si>
    <t>Sikre lovlydighet</t>
  </si>
  <si>
    <t>Styrke positivt miljøbidrag og bli en foretrukken partner i anbud</t>
  </si>
  <si>
    <t xml:space="preserve">Ser ingen negativt aspekt rundt dette. </t>
  </si>
  <si>
    <t>Tilfredshetmåling og medarbeidersamtaler</t>
  </si>
  <si>
    <t>Spre engasjement for sertifiseringen blant ansatte</t>
  </si>
  <si>
    <t>Krav om Norsktale blant ansatte</t>
  </si>
  <si>
    <t>Avklares i intervju</t>
  </si>
  <si>
    <t>Forhindre misforståelser i kommunikasjon</t>
  </si>
  <si>
    <t>Inkludering og god oppfølging</t>
  </si>
  <si>
    <t>Avdelingsleder</t>
  </si>
  <si>
    <t>Tydeliggjøre KPI mål på personalmøter og i plenum</t>
  </si>
  <si>
    <t>Opplæring av rapportering i Fixit hos ansatte vil redusere nedetiden</t>
  </si>
  <si>
    <t>Opplæring til alle ansatte i Fixit - hvordan rapportere feil og mangler i system</t>
  </si>
  <si>
    <t>Driftsleder</t>
  </si>
  <si>
    <t>Alle</t>
  </si>
  <si>
    <t>Antall samarbeidspartnere</t>
  </si>
  <si>
    <t>Mulig negativ påvirkning - risiko</t>
  </si>
  <si>
    <t>Manglende kapasitet til å utføre alle oppdrag</t>
  </si>
  <si>
    <t>Innhente så mange samarbeidspartnere som mulig via nettside og nettverk</t>
  </si>
  <si>
    <t>Kjøpe flere egeneide biler med ansatte for å redusere behovet for eksterne partnere</t>
  </si>
  <si>
    <t>Mindre forsinkelser og arbeidspress</t>
  </si>
  <si>
    <t xml:space="preserve">
Overordnet risiko- og mulighetsvurdering av prosesser</t>
  </si>
  <si>
    <t>Nr.</t>
  </si>
  <si>
    <t xml:space="preserve">
Prosesser</t>
  </si>
  <si>
    <t>Risiko</t>
  </si>
  <si>
    <t xml:space="preserve">Muligheter </t>
  </si>
  <si>
    <t>Situasjonsbeskrivelse inkl. eksisterende tiltak</t>
  </si>
  <si>
    <r>
      <rPr>
        <b/>
        <sz val="16"/>
        <color rgb="FF0070C0"/>
        <rFont val="Calibri"/>
        <family val="2"/>
        <scheme val="minor"/>
      </rPr>
      <t>Sannsynlighet</t>
    </r>
    <r>
      <rPr>
        <b/>
        <sz val="16"/>
        <color theme="1"/>
        <rFont val="Calibri"/>
        <family val="2"/>
        <scheme val="minor"/>
      </rPr>
      <t xml:space="preserve">
1 = Utenkelig / Veldig lav
2 = Lav
3 = Sannsynlig
4 = Meget sannsynlig</t>
    </r>
  </si>
  <si>
    <r>
      <rPr>
        <b/>
        <sz val="16"/>
        <color rgb="FF0070C0"/>
        <rFont val="Calibri"/>
        <family val="2"/>
        <scheme val="minor"/>
      </rPr>
      <t>Konsekvens:</t>
    </r>
    <r>
      <rPr>
        <b/>
        <sz val="16"/>
        <color theme="1"/>
        <rFont val="Calibri"/>
        <family val="2"/>
        <scheme val="minor"/>
      </rPr>
      <t xml:space="preserve">
1=Liten</t>
    </r>
    <r>
      <rPr>
        <b/>
        <sz val="14"/>
        <color theme="1"/>
        <rFont val="Calibri"/>
        <family val="2"/>
        <scheme val="minor"/>
      </rPr>
      <t xml:space="preserve"> (ubetydelig)</t>
    </r>
    <r>
      <rPr>
        <b/>
        <sz val="16"/>
        <color theme="1"/>
        <rFont val="Calibri"/>
        <family val="2"/>
        <scheme val="minor"/>
      </rPr>
      <t xml:space="preserve">
2=Lav
3=Moderat
4= Stor 
5=Stor/meget alvorlig</t>
    </r>
  </si>
  <si>
    <r>
      <rPr>
        <b/>
        <sz val="16"/>
        <color rgb="FF0070C0"/>
        <rFont val="Calibri"/>
        <family val="2"/>
        <scheme val="minor"/>
      </rPr>
      <t>Risikogradering:</t>
    </r>
    <r>
      <rPr>
        <b/>
        <sz val="18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1-4=Liten risko
5-9=Middels, </t>
    </r>
    <r>
      <rPr>
        <sz val="14"/>
        <color theme="1"/>
        <rFont val="Calibri"/>
        <family val="2"/>
        <scheme val="minor"/>
      </rPr>
      <t xml:space="preserve">(tiltak skal vurderes) </t>
    </r>
    <r>
      <rPr>
        <b/>
        <sz val="14"/>
        <color theme="1"/>
        <rFont val="Calibri"/>
        <family val="2"/>
        <scheme val="minor"/>
      </rPr>
      <t xml:space="preserve">
10-20= Stor, (</t>
    </r>
    <r>
      <rPr>
        <sz val="14"/>
        <color theme="1"/>
        <rFont val="Calibri"/>
        <family val="2"/>
        <scheme val="minor"/>
      </rPr>
      <t>tiltak skal gjennomøføres, rutiner utarbeides)</t>
    </r>
    <r>
      <rPr>
        <b/>
        <sz val="18"/>
        <color theme="1"/>
        <rFont val="Calibri"/>
        <family val="2"/>
        <scheme val="minor"/>
      </rPr>
      <t xml:space="preserve">
</t>
    </r>
  </si>
  <si>
    <t>Tiltak for å redusere risiko / øke muligheter</t>
  </si>
  <si>
    <t>Relaterte prosesser</t>
  </si>
  <si>
    <r>
      <t>Rest 
sann-synlighet</t>
    </r>
    <r>
      <rPr>
        <b/>
        <i/>
        <sz val="18"/>
        <color theme="1"/>
        <rFont val="Calibri"/>
        <family val="2"/>
        <scheme val="minor"/>
      </rPr>
      <t xml:space="preserve"> </t>
    </r>
  </si>
  <si>
    <t>Rest 
Risiko / Mulighet</t>
  </si>
  <si>
    <t>Rest-
risiko/ mulighet etter utført tiltak</t>
  </si>
  <si>
    <t>Ledelse, strategi og selskapsutvikling</t>
  </si>
  <si>
    <t xml:space="preserve">Prosesser er beskrevet, strategien er lagt, men etterleves ikke </t>
  </si>
  <si>
    <t>Etterlevelse og intern samhandling om oppfylling av policy og mål.</t>
  </si>
  <si>
    <t>CEO har dette som sitt hoved-ansvarsområde og sikrer god kommunikasjon og involvering av alle medarbeidere i utviklingen.</t>
  </si>
  <si>
    <t>Bevistgjøring- og kommunikasjon i implementeringsmøter med de ansatte (kick off)</t>
  </si>
  <si>
    <t>Prosess 2 - 28</t>
  </si>
  <si>
    <t>Markedsføring</t>
  </si>
  <si>
    <t>Ingen synlig markedsføring av bedriftens miljøambisjoner</t>
  </si>
  <si>
    <t>Markedsføre Miljøprofil og sertifiseringer på web-sider og presentasjons-materiell</t>
  </si>
  <si>
    <t>Pr. dato er det ingen slik markedsføring</t>
  </si>
  <si>
    <r>
      <rPr>
        <b/>
        <sz val="14"/>
        <color theme="1"/>
        <rFont val="Calibri"/>
        <family val="2"/>
        <scheme val="minor"/>
      </rPr>
      <t>Markedføre miljøprofilen</t>
    </r>
    <r>
      <rPr>
        <sz val="14"/>
        <color theme="1"/>
        <rFont val="Calibri"/>
        <family val="2"/>
        <scheme val="minor"/>
      </rPr>
      <t xml:space="preserve"> til MAVI overfor alle eksterne interesseparter inkl. Transportører. MAVI legger ekstra stor vekt på å </t>
    </r>
    <r>
      <rPr>
        <b/>
        <sz val="14"/>
        <color theme="1"/>
        <rFont val="Calibri"/>
        <family val="2"/>
        <scheme val="minor"/>
      </rPr>
      <t>markedsføre sin miljøprofil overfor El-kjøp</t>
    </r>
  </si>
  <si>
    <t>Prosess 1</t>
  </si>
  <si>
    <t>Kvalitetsstyring</t>
  </si>
  <si>
    <t>Intet reviderbart system</t>
  </si>
  <si>
    <t>Bygge system for kvalitetstyring</t>
  </si>
  <si>
    <t>Pr. i dag er det ingen konkrete planer for et kvalitetstyringssystem</t>
  </si>
  <si>
    <r>
      <rPr>
        <b/>
        <sz val="14"/>
        <color rgb="FF000000"/>
        <rFont val="Arial"/>
        <family val="2"/>
      </rPr>
      <t xml:space="preserve">Prosess 1 og 4 </t>
    </r>
    <r>
      <rPr>
        <sz val="14"/>
        <color rgb="FF000000"/>
        <rFont val="Arial"/>
        <family val="2"/>
      </rPr>
      <t>kan bygges videre for å oppfylle kravene i ISO 9001:2015 (ikke nødvendigvis for sertifisering.</t>
    </r>
  </si>
  <si>
    <t>Ytre miljøstyring</t>
  </si>
  <si>
    <t>Intet reviderbart system iht. ISO 14001:2014</t>
  </si>
  <si>
    <t>Bygge system for miljøstyring</t>
  </si>
  <si>
    <t xml:space="preserve">Mavi er Miljøfyfrtårnsertifisert </t>
  </si>
  <si>
    <t>Mavi Logistikk implementerer ledelsessystem for Miljø iht. ISO 14001:2015</t>
  </si>
  <si>
    <t>Prosess 1, 5 og 6</t>
  </si>
  <si>
    <t>HMS styring</t>
  </si>
  <si>
    <t>Internkontrollsystem, Lovsamsvar og HMS systemet blir ikke fulgt opp</t>
  </si>
  <si>
    <t>Dedikert person/Funksjon har dette som hovedansvar</t>
  </si>
  <si>
    <t>Verneombudet og CEO har disse områdene som hoved oppgaver. Avvik rapporteres og behandles i Landax</t>
  </si>
  <si>
    <t>Vedlikehold og forbedring av et allerede implementert HMS og Internkontrollsystem</t>
  </si>
  <si>
    <t>Prosess 1 inkl.  HMS håndbok</t>
  </si>
  <si>
    <t>Styring Beredskap og innsats</t>
  </si>
  <si>
    <t>Beredskapsplaner blir ikke utarbeidet for alle situasjoner inkl. transport på veg (levering til kunde)</t>
  </si>
  <si>
    <t>CEO har dette som hovedansvar. Lage og distribuere varlingsplan for ulykker og miljøhendelser til alle faste transportører</t>
  </si>
  <si>
    <t>CEO har disse områdene som hovedoppgaver. Brannøvelser m/evakuering blir gjennomført sammen med andre leietakere</t>
  </si>
  <si>
    <t>Ferdigstille varslingsplan for interne og eksterne interesseparter og øvelser</t>
  </si>
  <si>
    <t>Ledelsessystemets beskrivelse (14001:2015) , inkl. HMS håndbok og Beredskapsplaner</t>
  </si>
  <si>
    <t>Forespørsel vare/produkt</t>
  </si>
  <si>
    <r>
      <rPr>
        <b/>
        <u/>
        <sz val="16"/>
        <color rgb="FF0070C0"/>
        <rFont val="Arial"/>
        <family val="2"/>
      </rPr>
      <t>GENERELL VURDERING</t>
    </r>
    <r>
      <rPr>
        <b/>
        <sz val="16"/>
        <color rgb="FF0070C0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  </t>
    </r>
  </si>
  <si>
    <t>Forespørsel/bestilling av vare/produkt</t>
  </si>
  <si>
    <t>Ordrebehandling</t>
  </si>
  <si>
    <t>Ordresystemet SAP "hackes" eller "går ned" av IT-tekniske årsaker: Resultat: Ingen nye ordrer kommer inn fra El-kjøp</t>
  </si>
  <si>
    <t>Regelmessig vedlikehold av egen infrastruktur (IKT). Informasjon til ansatte om "farer" i samarbeid med El-kjøp</t>
  </si>
  <si>
    <t>Mavi følger IT policy og sikkerhetspolicy pålagt oss og i samarbeid med El-kjøp. Vi følger prosessbeskrivelsen for Ordrebehandling</t>
  </si>
  <si>
    <t>Prosess etablert med ansvarlig er etabler</t>
  </si>
  <si>
    <t xml:space="preserve">Prosess 1, m/kjerneprosesser (Core Business) </t>
  </si>
  <si>
    <t>Innkjøp av transporttjenester</t>
  </si>
  <si>
    <r>
      <t xml:space="preserve">Mangel på tilbydere, prisen er for høy, </t>
    </r>
    <r>
      <rPr>
        <b/>
        <sz val="14"/>
        <color rgb="FF000000"/>
        <rFont val="Arial"/>
        <family val="2"/>
      </rPr>
      <t xml:space="preserve">miljøkrav </t>
    </r>
    <r>
      <rPr>
        <sz val="14"/>
        <color rgb="FF000000"/>
        <rFont val="Arial"/>
        <family val="2"/>
      </rPr>
      <t>kvalitet og HMS er mangelfull, eller en kombinasjon av disse.</t>
    </r>
  </si>
  <si>
    <t>Vi utvikler våre samarbeidskontrakter med tranportører som sikrer forutsigbarhet innen alle kravområder.</t>
  </si>
  <si>
    <t>MAVI har inngått et tilstrekkelig antall underentrepriser med våre foretrukne samarbeidspartnere og som ivaretar forpliktelsene våre overfor Kunder og øvrige interesseparter pr. dato</t>
  </si>
  <si>
    <t>Prosess 1, m/ innkjøpsprosessen og dokumenterbar informasjon (avtaler/kontrakter)</t>
  </si>
  <si>
    <t>Varemottak</t>
  </si>
  <si>
    <t>Planlegging</t>
  </si>
  <si>
    <t>Optimal ruteplanlegging blir ikke av div. årsaker gjennomført</t>
  </si>
  <si>
    <t>Lage ny instruks og/eller sjekklister som forebygger mot feil</t>
  </si>
  <si>
    <t>Sjekkliste og instruks for planlegging er etablert. Ved avvik repporteres dette i Landax</t>
  </si>
  <si>
    <t>Leveranse (Lager og Distribusjon)</t>
  </si>
  <si>
    <t>Prosess eller viktige steg i prosessen følges ikke</t>
  </si>
  <si>
    <t>Bevisstgjøring og kursing av medarbeidere som skal "levere" iht prosess. Melde avvik i Landax</t>
  </si>
  <si>
    <t>Følges opp av ansvarlig leder løpende:  Lossing/Lasting, kontroll på "Re-frakt" m/avfalls-sortering, registrering av ut/inn tider, mottakskontroll, scanning til kjørefelt og ditto kontroll.</t>
  </si>
  <si>
    <t>Fakturabehandling</t>
  </si>
  <si>
    <t>Feilfakturering</t>
  </si>
  <si>
    <t>Sluttkontroll av faktura mot bestilling og faktura fra underleveranser (tranport)</t>
  </si>
  <si>
    <t>Økonomiansvalig har dette som hovedoppgave. Avvik registreres i Landax</t>
  </si>
  <si>
    <t xml:space="preserve">Prosess 1, m/prosess for innkjøp </t>
  </si>
  <si>
    <t>Lager- og Distribusjon</t>
  </si>
  <si>
    <r>
      <t xml:space="preserve">Miljørisiko: </t>
    </r>
    <r>
      <rPr>
        <sz val="14"/>
        <color rgb="FF000000"/>
        <rFont val="Arial"/>
        <family val="2"/>
      </rPr>
      <t>Liten eller ingen miljøoppfølging av planer for arbeidet i lager- logistikk avdelingen og/eller ingen eller for liten oppfølging av avviksregistrering og behandling av registrerte avvik.</t>
    </r>
  </si>
  <si>
    <r>
      <t xml:space="preserve">Forbedringsmulighet: </t>
    </r>
    <r>
      <rPr>
        <sz val="14"/>
        <color rgb="FF000000"/>
        <rFont val="Arial"/>
        <family val="2"/>
      </rPr>
      <t>Regelmessige avdelingsmøter med rapportering av miljøprestasjoner og tiltak for forbedringer, samt kommunikasjon av krav og forventninger for alle resultatområder.</t>
    </r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</si>
  <si>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  </t>
    </r>
    <r>
      <rPr>
        <b/>
        <sz val="14"/>
        <color rgb="FF000000"/>
        <rFont val="Arial"/>
        <family val="2"/>
      </rPr>
      <t xml:space="preserve">Operasjonelt: </t>
    </r>
    <r>
      <rPr>
        <sz val="14"/>
        <color rgb="FF000000"/>
        <rFont val="Arial"/>
        <family val="2"/>
      </rPr>
      <t xml:space="preserve">Sikre oppfølging av planer for logistikk iht. Overordnet miljømålsetning og planlagte kjøreruter som sikrer lavest mulig kjørte kilometer til leveringsadressene.     </t>
    </r>
    <r>
      <rPr>
        <b/>
        <sz val="14"/>
        <color rgb="FF000000"/>
        <rFont val="Arial"/>
        <family val="2"/>
      </rPr>
      <t xml:space="preserve"> Forebyggende: </t>
    </r>
    <r>
      <rPr>
        <sz val="14"/>
        <color rgb="FF000000"/>
        <rFont val="Arial"/>
        <family val="2"/>
      </rPr>
      <t>Opplæring av lagermedarbeidere iht. miljømål</t>
    </r>
  </si>
  <si>
    <r>
      <rPr>
        <b/>
        <sz val="14"/>
        <color rgb="FF000000"/>
        <rFont val="Arial"/>
        <family val="2"/>
      </rPr>
      <t>Prosess1 + HR prosess er etablert</t>
    </r>
    <r>
      <rPr>
        <sz val="14"/>
        <color rgb="FF000000"/>
        <rFont val="Arial"/>
        <family val="2"/>
      </rPr>
      <t xml:space="preserve">. Funksjons- og/eller stillingsbeskrivelse med myndighet og ansvar er signert i ansettelseskontrakt og ligger som dokumenterbar informasjon. </t>
    </r>
    <r>
      <rPr>
        <b/>
        <sz val="14"/>
        <color rgb="FF000000"/>
        <rFont val="Arial"/>
        <family val="2"/>
      </rPr>
      <t>Utviklingsmulighet</t>
    </r>
    <r>
      <rPr>
        <sz val="14"/>
        <color rgb="FF000000"/>
        <rFont val="Arial"/>
        <family val="2"/>
      </rPr>
      <t xml:space="preserve"> og behov for mer kursing vil gjenspeiles i registrerte avvik for funksjonen. </t>
    </r>
    <r>
      <rPr>
        <b/>
        <sz val="14"/>
        <color rgb="FF000000"/>
        <rFont val="Arial"/>
        <family val="2"/>
      </rPr>
      <t>Miljørelatert kurs</t>
    </r>
  </si>
  <si>
    <t>Prosess 1, m/prosess for HR + kompetanseoversikt i modulen kompetanse (Landax) og funksjonsbeskrivelse i dok. Registeret</t>
  </si>
  <si>
    <r>
      <t xml:space="preserve">Miljørisiko: </t>
    </r>
    <r>
      <rPr>
        <sz val="14"/>
        <color rgb="FF000000"/>
        <rFont val="Arial"/>
        <family val="2"/>
      </rPr>
      <t xml:space="preserve">Uhensiktsmessige og lite utslippsbesparende (CO2) kjøreruter blir planlagt og gjennomført - </t>
    </r>
    <r>
      <rPr>
        <b/>
        <sz val="14"/>
        <color rgb="FF000000"/>
        <rFont val="Arial"/>
        <family val="2"/>
      </rPr>
      <t>T</t>
    </r>
    <r>
      <rPr>
        <sz val="14"/>
        <color rgb="FF000000"/>
        <rFont val="Arial"/>
        <family val="2"/>
      </rPr>
      <t>ransportøren kjører unødvendig mange kilometer  ved levering</t>
    </r>
  </si>
  <si>
    <r>
      <t xml:space="preserve">Forbedringsmulighet: </t>
    </r>
    <r>
      <rPr>
        <sz val="14"/>
        <color rgb="FF000000"/>
        <rFont val="Arial"/>
        <family val="2"/>
      </rPr>
      <t>Optimalisering av kjøreruter og følge plan for lasting av gods på bil</t>
    </r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</si>
  <si>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  </t>
    </r>
    <r>
      <rPr>
        <b/>
        <sz val="14"/>
        <color rgb="FF000000"/>
        <rFont val="Arial"/>
        <family val="2"/>
      </rPr>
      <t xml:space="preserve">Operasjonelt: </t>
    </r>
    <r>
      <rPr>
        <sz val="14"/>
        <color rgb="FF000000"/>
        <rFont val="Arial"/>
        <family val="2"/>
      </rPr>
      <t>Optimal planlegging av kjøreruter og lasting av gods</t>
    </r>
    <r>
      <rPr>
        <b/>
        <sz val="14"/>
        <color rgb="FF000000"/>
        <rFont val="Arial"/>
        <family val="2"/>
      </rPr>
      <t xml:space="preserve">.         Forebyggende: </t>
    </r>
    <r>
      <rPr>
        <sz val="14"/>
        <color rgb="FF000000"/>
        <rFont val="Arial"/>
        <family val="2"/>
      </rPr>
      <t xml:space="preserve">Egenutvukling av sine kunnskaper om geografiske GPS kart-referanser og transprtørenes bilpark. </t>
    </r>
  </si>
  <si>
    <r>
      <rPr>
        <b/>
        <sz val="14"/>
        <color rgb="FF000000"/>
        <rFont val="Arial"/>
        <family val="2"/>
      </rPr>
      <t>Prosess1 + HR prosess er etablert</t>
    </r>
    <r>
      <rPr>
        <sz val="14"/>
        <color rgb="FF000000"/>
        <rFont val="Arial"/>
        <family val="2"/>
      </rPr>
      <t>. Funksjons- og/eller stillingsbeskrivelse med myndighet og ansvar er signert i ansettelseskontrakt og ligger som dokumenterbar informasjon.</t>
    </r>
    <r>
      <rPr>
        <b/>
        <sz val="14"/>
        <color rgb="FF000000"/>
        <rFont val="Arial"/>
        <family val="2"/>
      </rPr>
      <t xml:space="preserve"> Utviklingsmulighet</t>
    </r>
    <r>
      <rPr>
        <sz val="14"/>
        <color rgb="FF000000"/>
        <rFont val="Arial"/>
        <family val="2"/>
      </rPr>
      <t xml:space="preserve"> og behov for mer kursing vil gjenspeiles i registrerte avvik for funksjonen. </t>
    </r>
    <r>
      <rPr>
        <b/>
        <sz val="14"/>
        <color rgb="FF000000"/>
        <rFont val="Arial"/>
        <family val="2"/>
      </rPr>
      <t>Miljørelatert kurs</t>
    </r>
  </si>
  <si>
    <r>
      <t xml:space="preserve">Miljørisiko: </t>
    </r>
    <r>
      <rPr>
        <sz val="14"/>
        <color rgb="FF000000"/>
        <rFont val="Arial"/>
        <family val="2"/>
      </rPr>
      <t xml:space="preserve">Feil klargjøring av kjøreruter, Returmottak (jf. pkt. 1 og 2)             </t>
    </r>
    <r>
      <rPr>
        <b/>
        <sz val="14"/>
        <color rgb="FF000000"/>
        <rFont val="Arial"/>
        <family val="2"/>
      </rPr>
      <t xml:space="preserve">HMS-risiko: </t>
    </r>
    <r>
      <rPr>
        <sz val="14"/>
        <color rgb="FF000000"/>
        <rFont val="Arial"/>
        <family val="2"/>
      </rPr>
      <t xml:space="preserve">Truckkjøring, Lossing av trailer, Montering av støpsler (jf. pkt. 3,5,6) </t>
    </r>
    <r>
      <rPr>
        <b/>
        <sz val="14"/>
        <color rgb="FF000000"/>
        <rFont val="Arial"/>
        <family val="2"/>
      </rPr>
      <t xml:space="preserve">Kvalitetsrisiko: </t>
    </r>
    <r>
      <rPr>
        <sz val="14"/>
        <color rgb="FF000000"/>
        <rFont val="Arial"/>
        <family val="2"/>
      </rPr>
      <t>Feil eller ikke vending av skapdør.</t>
    </r>
  </si>
  <si>
    <t>Sikre at alle elementer arbeidsbeskrivelsen er godt implementert og forstått. Regelmessig resultatoppfølging av avdelingens resultater i avdelingsmøter, inkl. bevisstgjørie/kommunika-sjon jf. 7.3/7.4 (14001)</t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</si>
  <si>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    </t>
    </r>
    <r>
      <rPr>
        <sz val="14"/>
        <color rgb="FF000000"/>
        <rFont val="Arial"/>
        <family val="2"/>
      </rPr>
      <t xml:space="preserve">         1. Klargjøre kjøreruter 2. Returmottak 3. Truckkjøring 4. Dørvending av elektroniske skap, 5. Lossing av trailer 6. Montering av støpsler.</t>
    </r>
  </si>
  <si>
    <r>
      <rPr>
        <b/>
        <sz val="14"/>
        <color rgb="FF000000"/>
        <rFont val="Arial"/>
        <family val="2"/>
      </rPr>
      <t>Kvartalsvise info-møter</t>
    </r>
    <r>
      <rPr>
        <sz val="14"/>
        <color rgb="FF000000"/>
        <rFont val="Arial"/>
        <family val="2"/>
      </rPr>
      <t xml:space="preserve"> med fast agenda for </t>
    </r>
    <r>
      <rPr>
        <b/>
        <sz val="14"/>
        <color rgb="FF000000"/>
        <rFont val="Arial"/>
        <family val="2"/>
      </rPr>
      <t>Miljømål og</t>
    </r>
    <r>
      <rPr>
        <sz val="14"/>
        <color rgb="FF00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Miljøaspekter, HMS-mål</t>
    </r>
    <r>
      <rPr>
        <sz val="14"/>
        <color rgb="FF000000"/>
        <rFont val="Arial"/>
        <family val="2"/>
      </rPr>
      <t xml:space="preserve"> og </t>
    </r>
    <r>
      <rPr>
        <b/>
        <sz val="14"/>
        <color rgb="FF000000"/>
        <rFont val="Arial"/>
        <family val="2"/>
      </rPr>
      <t>kvalitetsprestasjoner</t>
    </r>
    <r>
      <rPr>
        <sz val="14"/>
        <color rgb="FF000000"/>
        <rFont val="Arial"/>
        <family val="2"/>
      </rPr>
      <t xml:space="preserve">  /  Statistisk rapportering </t>
    </r>
    <r>
      <rPr>
        <b/>
        <sz val="14"/>
        <color rgb="FF000000"/>
        <rFont val="Arial"/>
        <family val="2"/>
      </rPr>
      <t>Mål vs. Resultat</t>
    </r>
    <r>
      <rPr>
        <sz val="14"/>
        <color rgb="FF000000"/>
        <rFont val="Arial"/>
        <family val="2"/>
      </rPr>
      <t xml:space="preserve">  jf. interne og eksterne  mål og forventninger. (Kunder) </t>
    </r>
    <r>
      <rPr>
        <b/>
        <sz val="14"/>
        <color rgb="FF000000"/>
        <rFont val="Arial"/>
        <family val="2"/>
      </rPr>
      <t>Årlige Utviklingssamtaler</t>
    </r>
    <r>
      <rPr>
        <sz val="14"/>
        <color rgb="FF00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Opplæring</t>
    </r>
    <r>
      <rPr>
        <sz val="14"/>
        <color rgb="FF000000"/>
        <rFont val="Arial"/>
        <family val="2"/>
      </rPr>
      <t xml:space="preserve">: gis iht. mål/resultat </t>
    </r>
  </si>
  <si>
    <r>
      <rPr>
        <b/>
        <sz val="14"/>
        <color rgb="FF000000"/>
        <rFont val="Arial"/>
        <family val="2"/>
      </rPr>
      <t>Prosess 4:</t>
    </r>
    <r>
      <rPr>
        <sz val="14"/>
        <color rgb="FF000000"/>
        <rFont val="Arial"/>
        <family val="2"/>
      </rPr>
      <t xml:space="preserve"> Hovedaktiviteter for Miljø</t>
    </r>
    <r>
      <rPr>
        <b/>
        <sz val="14"/>
        <color rgb="FF000000"/>
        <rFont val="Arial"/>
        <family val="2"/>
      </rPr>
      <t xml:space="preserve"> </t>
    </r>
    <r>
      <rPr>
        <sz val="14"/>
        <color rgb="FF000000"/>
        <rFont val="Arial"/>
        <family val="2"/>
      </rPr>
      <t xml:space="preserve">og kvalitet, samt  </t>
    </r>
    <r>
      <rPr>
        <b/>
        <sz val="14"/>
        <color rgb="FF000000"/>
        <rFont val="Arial"/>
        <family val="2"/>
      </rPr>
      <t xml:space="preserve">Prosess 20, 22. </t>
    </r>
    <r>
      <rPr>
        <sz val="14"/>
        <color rgb="FF000000"/>
        <rFont val="Arial"/>
        <family val="2"/>
      </rPr>
      <t>Og  i tillegg er risikoreduksjon og muligheter relatert til</t>
    </r>
    <r>
      <rPr>
        <b/>
        <sz val="14"/>
        <color rgb="FF000000"/>
        <rFont val="Arial"/>
        <family val="2"/>
      </rPr>
      <t xml:space="preserve"> ISO styrings-prosesser</t>
    </r>
    <r>
      <rPr>
        <sz val="14"/>
        <color rgb="FF000000"/>
        <rFont val="Arial"/>
        <family val="2"/>
      </rPr>
      <t xml:space="preserve"> for </t>
    </r>
    <r>
      <rPr>
        <u/>
        <sz val="14"/>
        <color rgb="FF000000"/>
        <rFont val="Arial"/>
        <family val="2"/>
      </rPr>
      <t>Avviksbehandling</t>
    </r>
    <r>
      <rPr>
        <sz val="14"/>
        <color rgb="FF000000"/>
        <rFont val="Arial"/>
        <family val="2"/>
      </rPr>
      <t xml:space="preserve">, </t>
    </r>
    <r>
      <rPr>
        <u/>
        <sz val="14"/>
        <color rgb="FF000000"/>
        <rFont val="Arial"/>
        <family val="2"/>
      </rPr>
      <t>Forbedring</t>
    </r>
    <r>
      <rPr>
        <sz val="14"/>
        <color rgb="FF000000"/>
        <rFont val="Arial"/>
        <family val="2"/>
      </rPr>
      <t xml:space="preserve"> og </t>
    </r>
    <r>
      <rPr>
        <u/>
        <sz val="14"/>
        <color rgb="FF000000"/>
        <rFont val="Arial"/>
        <family val="2"/>
      </rPr>
      <t>Kompetanseutvikling</t>
    </r>
    <r>
      <rPr>
        <sz val="14"/>
        <color rgb="FF000000"/>
        <rFont val="Arial"/>
        <family val="2"/>
      </rPr>
      <t xml:space="preserve"> (Opplæring) </t>
    </r>
  </si>
  <si>
    <t>Administrative arbeidsfunksjoner</t>
  </si>
  <si>
    <t>CEO (DL): Funksjonsbeskrivelse</t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</si>
  <si>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           • DL, er ansvarlig for selskapets daglige drift og </t>
    </r>
    <r>
      <rPr>
        <b/>
        <sz val="12"/>
        <color rgb="FF000000"/>
        <rFont val="Arial"/>
        <family val="2"/>
      </rPr>
      <t>etterlevelse av lover og myndighetskrav</t>
    </r>
    <r>
      <rPr>
        <sz val="12"/>
        <color rgb="FF000000"/>
        <rFont val="Arial"/>
        <family val="2"/>
      </rPr>
      <t xml:space="preserve">
• DL, er selskapets øverste daglige ledelse og er ansvarlig for oppnåelse av selskapets </t>
    </r>
    <r>
      <rPr>
        <b/>
        <sz val="12"/>
        <color rgb="FF000000"/>
        <rFont val="Arial"/>
        <family val="2"/>
      </rPr>
      <t>strategier og mål</t>
    </r>
    <r>
      <rPr>
        <sz val="12"/>
        <color rgb="FF000000"/>
        <rFont val="Arial"/>
        <family val="2"/>
      </rPr>
      <t xml:space="preserve">.
• DL, er ansvarlig for utarbeidelse og etterlevelse av </t>
    </r>
    <r>
      <rPr>
        <b/>
        <sz val="12"/>
        <color rgb="FF000000"/>
        <rFont val="Arial"/>
        <family val="2"/>
      </rPr>
      <t>kvalitets- HMS og miljøpolitikk</t>
    </r>
    <r>
      <rPr>
        <sz val="12"/>
        <color rgb="FF000000"/>
        <rFont val="Arial"/>
        <family val="2"/>
      </rPr>
      <t xml:space="preserve">. 
• </t>
    </r>
    <r>
      <rPr>
        <b/>
        <sz val="12"/>
        <color rgb="FF000000"/>
        <rFont val="Arial"/>
        <family val="2"/>
      </rPr>
      <t>Lede og utføre miljøarbeid i bedriften eller et spesifikt prosjekt</t>
    </r>
    <r>
      <rPr>
        <sz val="12"/>
        <color rgb="FF000000"/>
        <rFont val="Arial"/>
        <family val="2"/>
      </rPr>
      <t xml:space="preserve">
• Utføre og følge opp interne og eksterne revisjoner relatert
• </t>
    </r>
    <r>
      <rPr>
        <b/>
        <sz val="12"/>
        <color rgb="FF000000"/>
        <rFont val="Arial"/>
        <family val="2"/>
      </rPr>
      <t>Følge opp miljøulykker og kontakt med tilsyn og myndigheter</t>
    </r>
    <r>
      <rPr>
        <sz val="12"/>
        <color rgb="FF000000"/>
        <rFont val="Arial"/>
        <family val="2"/>
      </rPr>
      <t xml:space="preserve">
• </t>
    </r>
    <r>
      <rPr>
        <b/>
        <sz val="12"/>
        <color rgb="FF000000"/>
        <rFont val="Arial"/>
        <family val="2"/>
      </rPr>
      <t>Forestå opplæring innen ytre miljø</t>
    </r>
  </si>
  <si>
    <t>Driftsleder: Funksjonsbeskrivelse</t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</si>
  <si>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  </t>
    </r>
    <r>
      <rPr>
        <sz val="12"/>
        <color rgb="FF000000"/>
        <rFont val="Arial"/>
        <family val="2"/>
      </rPr>
      <t xml:space="preserve">Driftsleders funksjonsområde er som stedfortreder for daglig leder og har således samme ansvar og myndighetsområde som CEO (Dagl.leder) </t>
    </r>
  </si>
  <si>
    <t>Økonomiansvarlig: Funksjonsbeskrivelse</t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</si>
  <si>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 xml:space="preserve">:            </t>
    </r>
    <r>
      <rPr>
        <sz val="12"/>
        <color rgb="FF000000"/>
        <rFont val="Arial"/>
        <family val="2"/>
      </rPr>
      <t>• Er ansvarlig for at regnskapet og rapportering til myndigheter er i overensstemmelse med krav til virksomheten.
• Er ansvarlig for personalfunksjoner.
• Funksjonen omfatter også ansvar for de prosedyrer og systemer som benyttes til økonomi og administrasjon.
• Ansvar for avtaler og kommunikasjon med regnskapsbyrå og revisjonsselskap.
• Delta i ledergruppa
• Utarbeide budsjetter i selskapet</t>
    </r>
  </si>
  <si>
    <r>
      <rPr>
        <b/>
        <sz val="14"/>
        <color rgb="FF000000"/>
        <rFont val="Arial"/>
        <family val="2"/>
      </rPr>
      <t>Prosess1 + HR prosess er etablert</t>
    </r>
    <r>
      <rPr>
        <sz val="14"/>
        <color rgb="FF000000"/>
        <rFont val="Arial"/>
        <family val="2"/>
      </rPr>
      <t>. Funksjons- og/eller stillingsbeskrivelse med myndighet og ansvar er signert i ansettelseskontrakt og ligger som dokumenterbar informasjon.</t>
    </r>
    <r>
      <rPr>
        <b/>
        <sz val="14"/>
        <color rgb="FF000000"/>
        <rFont val="Arial"/>
        <family val="2"/>
      </rPr>
      <t xml:space="preserve"> </t>
    </r>
  </si>
  <si>
    <t>Verneombud: Funksjonsbeskrivelse</t>
  </si>
  <si>
    <r>
      <rPr>
        <b/>
        <u/>
        <sz val="16"/>
        <color rgb="FF000000"/>
        <rFont val="Arial"/>
        <family val="2"/>
      </rPr>
      <t>Ansvar og Myndighet</t>
    </r>
    <r>
      <rPr>
        <b/>
        <sz val="16"/>
        <color rgb="FF000000"/>
        <rFont val="Arial"/>
        <family val="2"/>
      </rPr>
      <t xml:space="preserve">:            </t>
    </r>
    <r>
      <rPr>
        <sz val="12"/>
        <color rgb="FF000000"/>
        <rFont val="Arial"/>
        <family val="2"/>
      </rPr>
      <t>• Er ansvarlig for at systemet for helse, miljø og sikkerhet fungerer hensiktsmessig og er i henhold til aktuelle myndighetskrav og firmaets HMS politikk.
• Funksjonen omfatter også ansvar for de prosedyrer og systemer som benyttes til HMS
• Koordinere HMS arbeidet i bedriften
• Følge opp vernerunderapporter og tiltak
• Følge opp nestenulykker og ulykker  
• Forestå opplæring innen HMS</t>
    </r>
    <r>
      <rPr>
        <b/>
        <sz val="12"/>
        <color rgb="FF000000"/>
        <rFont val="Arial"/>
        <family val="2"/>
      </rPr>
      <t xml:space="preserve">
• I</t>
    </r>
    <r>
      <rPr>
        <b/>
        <u/>
        <sz val="12"/>
        <color rgb="FF000000"/>
        <rFont val="Arial"/>
        <family val="2"/>
      </rPr>
      <t>nnrapportering av Klima- og miljødata (Miljøfyrtårn)</t>
    </r>
    <r>
      <rPr>
        <sz val="12"/>
        <color rgb="FF000000"/>
        <rFont val="Arial"/>
        <family val="2"/>
      </rPr>
      <t xml:space="preserve">
• Forstå og gi opplæring innen IK-systemet</t>
    </r>
  </si>
  <si>
    <r>
      <rPr>
        <b/>
        <sz val="11"/>
        <color theme="1"/>
        <rFont val="Calibri"/>
        <family val="2"/>
        <scheme val="minor"/>
      </rPr>
      <t xml:space="preserve">Miljøkrav: </t>
    </r>
    <r>
      <rPr>
        <sz val="11"/>
        <color theme="1"/>
        <rFont val="Calibri"/>
        <family val="2"/>
        <scheme val="minor"/>
      </rPr>
      <t>Våre kunder har krav og forventninger til at Mavi Logistikk imøtekommer og aksepterer alle miljøkrav som stilles til oss i inngåtte avtaler/kontrakter med dem. (Eks. El-kjøp og andre store aktører)</t>
    </r>
  </si>
  <si>
    <t xml:space="preserve">Om Mavi Logistikk ikke innfrir krav og forventninger over tid, vil vi miste samarbeidet ved at kontrakten sies opp til fordel for en konkurrent med en miljøprofil som er i samsvar med f.eks. El-kjøps verdier og strategi </t>
  </si>
  <si>
    <t>Mavi Logistikk implementerer i Q4-2022 et  ledelsessystem for miljø iht. ISO 14001:2015 og gir Elkjøp rett til innsyn og revisjon av systemet</t>
  </si>
  <si>
    <t>Mavi Logistikk informerer alle A-kunder at ISO 14001:2015 er under implementering. Ny informasjon gis når systemet er sertifisert. Oversende kopi av sertifiseringsbeviset.</t>
  </si>
  <si>
    <t>Risikovurdering  av prosesser og  risikovurdering av miljøaspekter i fane Prosesser i dette dokumentet</t>
  </si>
  <si>
    <t xml:space="preserve">Forbedret ømdømme i markedene vi opererer, skal gi Mavi flere store oppdrag og kontraktpartnere </t>
  </si>
  <si>
    <t>Lagersjef</t>
  </si>
  <si>
    <t xml:space="preserve">Kjøreleder </t>
  </si>
  <si>
    <t>Lagermedarbeidere</t>
  </si>
  <si>
    <r>
      <t>Risikovurdering arbeidsoppgaver (</t>
    </r>
    <r>
      <rPr>
        <sz val="20"/>
        <color theme="0"/>
        <rFont val="Arial"/>
        <family val="2"/>
      </rPr>
      <t>medarbeiders myndighet og ansvar</t>
    </r>
    <r>
      <rPr>
        <b/>
        <sz val="20"/>
        <color theme="0"/>
        <rFont val="Arial"/>
        <family val="2"/>
      </rPr>
      <t>)</t>
    </r>
  </si>
  <si>
    <r>
      <t xml:space="preserve">Miljø- og kvalitetsrisiko: </t>
    </r>
    <r>
      <rPr>
        <sz val="14"/>
        <color rgb="FF000000"/>
        <rFont val="Arial"/>
        <family val="2"/>
      </rPr>
      <t>Sykdom eller annet fravær kan føre til at oppfølging av KPI reduseres og kvalitet synker, samt at rutiner svikter</t>
    </r>
  </si>
  <si>
    <t>Delegere og sikre kompentanse hos stedfortreder</t>
  </si>
  <si>
    <r>
      <t xml:space="preserve">Kvalitetsrisiko: </t>
    </r>
    <r>
      <rPr>
        <sz val="14"/>
        <color rgb="FF000000"/>
        <rFont val="Arial"/>
        <family val="2"/>
      </rPr>
      <t>Få antall ansatte på økonomiavdelingen gjør oss sårbare ved fravær samtidig som feil i oppgaver ikke raskt avdekkes.</t>
    </r>
  </si>
  <si>
    <t>Sikre stedfortrede</t>
  </si>
  <si>
    <r>
      <t xml:space="preserve">HMS-risiko: </t>
    </r>
    <r>
      <rPr>
        <sz val="14"/>
        <color rgb="FF000000"/>
        <rFont val="Arial"/>
        <family val="2"/>
      </rPr>
      <t xml:space="preserve">manglende kompetanse eller oppfølging fører til at ikke oppgaver som faller inn under tittelen blir opprettholdt tilfredstillende </t>
    </r>
  </si>
  <si>
    <t>Kurs og oppfølgingsmøter</t>
  </si>
  <si>
    <t>Gjennomgå samsvarsvurdering med driftsleder + nøkkelpersonell.</t>
  </si>
  <si>
    <t>Samsvarsvurdert?</t>
  </si>
  <si>
    <t>Ja / Q1 - 2023</t>
  </si>
  <si>
    <t>Miljøkrav: B2B markedet til Elkjøp får i større og større grad forventninger og krav om at MAVI Logistikk skal levere nullutslipp for å delta på anbudsrunder</t>
  </si>
  <si>
    <t xml:space="preserve">Dersom MAVI Logistikk ikke kan levere iht kundens krav, kan vi miste store deler eller hele B2B markedet på sikt. </t>
  </si>
  <si>
    <t>MAVI Logistikk har bestilt sin første elektriske varebil for å kunne være en aktuell partner videre for Elkjøp også på B2B markedet.</t>
  </si>
  <si>
    <t>Eksisterende tiltak er iverksatt og anses som tilfredstillende for å ikke tape omdømme/omsetning. Det vil fortløpende gjøres vurderinger på flere innkjøp ut ifra volum og etterspørsel</t>
  </si>
  <si>
    <t>Anskaffelse av flere kunder igjennom levering av nullutslipp</t>
  </si>
  <si>
    <t>Brann i bil på vei</t>
  </si>
  <si>
    <t>Forurensning ved trafikkuhell på vei</t>
  </si>
  <si>
    <t>Brann på lager</t>
  </si>
  <si>
    <t>Liv kan stå i fare eller gå tapt dersom ikke rutiner følges</t>
  </si>
  <si>
    <t>Rutiner for rømning i beredskapsplan. Brannvernsleder har begått kurs. Brannøvelser utføres i plenum med nabo</t>
  </si>
  <si>
    <t>Planlegges gjennomgang
av eksisterende tiltak og rutiner på kommende personalmøte</t>
  </si>
  <si>
    <t>Brannvern</t>
  </si>
  <si>
    <t>Hyppig gjennomgang av rutiner vil føre til bredere kunnskap og forhindre fare ved brann</t>
  </si>
  <si>
    <t>Ingen</t>
  </si>
  <si>
    <t>Legge til informasjon om prosedyre i beredskapsplanen</t>
  </si>
  <si>
    <t>Tilgjengelig informasjon via beredskapsplanen både for interne og eksterne vil føre til økt kunnskap om hvordan man håndterer en slik situasjon</t>
  </si>
  <si>
    <t>Unødvendig utslipp på miljø dersom ikke rutine følges</t>
  </si>
  <si>
    <t>Rutiner for forurensning i beredskapsplanen</t>
  </si>
  <si>
    <t>Ja / Q3 - 2023</t>
  </si>
  <si>
    <t>Forsøpling fra komprimatorer og ut i naturen</t>
  </si>
  <si>
    <t>Forurensning av restavfall ettersom komprimatorer er utenfor bygg</t>
  </si>
  <si>
    <t>Rutine for avfallshåndtering samt rydde ved behov</t>
  </si>
  <si>
    <t>Oppfriskning i rutiner ved møter og gruppechat</t>
  </si>
  <si>
    <t>X</t>
  </si>
  <si>
    <t xml:space="preserve">Bredere krav til nullutslipp, også mulig B2C. </t>
  </si>
  <si>
    <t>Ikke økonomisk forsvarlig å satse/manglednde teknologi. Kan miste avtale eller volum</t>
  </si>
  <si>
    <t>En bil i egen regi</t>
  </si>
  <si>
    <t>Umiddelbar tilpasning etter kundens behov og forventinger samt følge opp den teknologiske utviklingen</t>
  </si>
  <si>
    <t>Løpende</t>
  </si>
  <si>
    <t>1</t>
  </si>
  <si>
    <t>Nye kunder</t>
  </si>
  <si>
    <t>Ja / Q4 - 2023</t>
  </si>
  <si>
    <t>Samsvarsevaluert?</t>
  </si>
  <si>
    <t>Ja - Q4 23</t>
  </si>
  <si>
    <t>Brann i truck</t>
  </si>
  <si>
    <t>Person og/eller byggskade som følger av manglende oppfølging eller kontroll</t>
  </si>
  <si>
    <t>Dagligkontroll truck / varsling sakkyndig årskontroll</t>
  </si>
  <si>
    <t>Vurderes fortløpende</t>
  </si>
  <si>
    <t>JA - Q1-24</t>
  </si>
  <si>
    <t>JA - Q1-24. Miljøfyrtårn avsluttet Q3 23</t>
  </si>
  <si>
    <t>JA - Q1-24. Ingen avvik registrert 23. Avd.leder settes på saken</t>
  </si>
  <si>
    <t>JA - Q1-24. Utfordring iht sykefravær i 23. Tiltak iverksatt med ytterligere ressurser</t>
  </si>
  <si>
    <t>Anbudsprosess med IKEA legger krav for 100% nullutslipps kjøretøy</t>
  </si>
  <si>
    <t>Krav i anbud om 3 års kontrakt iht investering</t>
  </si>
  <si>
    <t>Stor investering som innebærer risiko. Kan føre til at man sitter igjen med mange kjøretøy uten arbeid dersom kontrakt termineres</t>
  </si>
  <si>
    <t>Anbudsprosess</t>
  </si>
  <si>
    <t>Sikre korrekt antall kjøretøy. Fremleie bilene ved behov. Benytte kjøretøyene hos andre kunder i porteføljen</t>
  </si>
  <si>
    <t>Vinne anbud eller sikre flere kunder ved nullutslippskjøretøy</t>
  </si>
  <si>
    <t>Ja/ Q4 - 2024</t>
  </si>
  <si>
    <t>Ja / Q4 - 2024</t>
  </si>
  <si>
    <t>Ja / Q4 -2024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</si>
</sst>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4]mmmm\ yy;@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70C0"/>
      <name val="Arial"/>
      <family val="2"/>
    </font>
    <font>
      <b/>
      <u/>
      <sz val="16"/>
      <color rgb="FF0070C0"/>
      <name val="Arial"/>
      <family val="2"/>
    </font>
    <font>
      <b/>
      <sz val="16"/>
      <color rgb="FF0070C0"/>
      <name val="Arial"/>
      <family val="2"/>
    </font>
    <font>
      <b/>
      <sz val="16"/>
      <color rgb="FF000000"/>
      <name val="Arial"/>
      <family val="2"/>
    </font>
    <font>
      <sz val="14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b/>
      <u/>
      <sz val="16"/>
      <color rgb="FF000000"/>
      <name val="Arial"/>
      <family val="2"/>
    </font>
    <font>
      <u/>
      <sz val="14"/>
      <color rgb="FF000000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sz val="11"/>
      <color rgb="FF9C57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5" fillId="19" borderId="0" applyNumberFormat="0" applyBorder="0" applyAlignment="0" applyProtection="0"/>
  </cellStyleXfs>
  <cellXfs count="17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3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wrapText="1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4" borderId="1" xfId="0" applyFill="1" applyBorder="1" applyAlignment="1">
      <alignment horizontal="right" vertical="top"/>
    </xf>
    <xf numFmtId="0" fontId="0" fillId="7" borderId="1" xfId="0" applyFill="1" applyBorder="1" applyAlignment="1">
      <alignment vertical="top"/>
    </xf>
    <xf numFmtId="0" fontId="0" fillId="7" borderId="1" xfId="0" applyFill="1" applyBorder="1"/>
    <xf numFmtId="14" fontId="0" fillId="4" borderId="1" xfId="0" applyNumberFormat="1" applyFill="1" applyBorder="1"/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/>
    <xf numFmtId="14" fontId="0" fillId="4" borderId="1" xfId="0" applyNumberFormat="1" applyFill="1" applyBorder="1" applyAlignment="1">
      <alignment vertical="top" wrapText="1"/>
    </xf>
    <xf numFmtId="49" fontId="0" fillId="6" borderId="5" xfId="0" applyNumberFormat="1" applyFill="1" applyBorder="1" applyAlignment="1">
      <alignment vertical="center" wrapText="1"/>
    </xf>
    <xf numFmtId="49" fontId="0" fillId="6" borderId="6" xfId="0" applyNumberFormat="1" applyFill="1" applyBorder="1" applyAlignment="1">
      <alignment vertical="center" wrapText="1"/>
    </xf>
    <xf numFmtId="49" fontId="3" fillId="4" borderId="1" xfId="0" applyNumberFormat="1" applyFont="1" applyFill="1" applyBorder="1"/>
    <xf numFmtId="49" fontId="0" fillId="6" borderId="2" xfId="0" applyNumberFormat="1" applyFill="1" applyBorder="1" applyAlignment="1">
      <alignment vertical="center" wrapText="1"/>
    </xf>
    <xf numFmtId="49" fontId="0" fillId="6" borderId="3" xfId="0" applyNumberFormat="1" applyFill="1" applyBorder="1" applyAlignment="1">
      <alignment vertical="center" wrapText="1"/>
    </xf>
    <xf numFmtId="49" fontId="3" fillId="5" borderId="1" xfId="0" applyNumberFormat="1" applyFont="1" applyFill="1" applyBorder="1"/>
    <xf numFmtId="49" fontId="1" fillId="0" borderId="2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top"/>
    </xf>
    <xf numFmtId="3" fontId="0" fillId="3" borderId="1" xfId="0" applyNumberFormat="1" applyFill="1" applyBorder="1"/>
    <xf numFmtId="0" fontId="0" fillId="8" borderId="0" xfId="0" applyFill="1"/>
    <xf numFmtId="0" fontId="6" fillId="8" borderId="7" xfId="0" applyFont="1" applyFill="1" applyBorder="1" applyAlignment="1">
      <alignment horizontal="left" wrapText="1"/>
    </xf>
    <xf numFmtId="0" fontId="7" fillId="9" borderId="1" xfId="0" applyFont="1" applyFill="1" applyBorder="1"/>
    <xf numFmtId="0" fontId="8" fillId="9" borderId="8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3" fillId="10" borderId="8" xfId="0" applyFont="1" applyFill="1" applyBorder="1" applyAlignment="1">
      <alignment horizontal="left" vertical="center" wrapText="1"/>
    </xf>
    <xf numFmtId="0" fontId="14" fillId="11" borderId="9" xfId="0" applyFont="1" applyFill="1" applyBorder="1" applyAlignment="1">
      <alignment vertical="top" wrapText="1"/>
    </xf>
    <xf numFmtId="0" fontId="14" fillId="11" borderId="9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vertical="top" wrapText="1"/>
    </xf>
    <xf numFmtId="0" fontId="15" fillId="1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top" wrapText="1"/>
    </xf>
    <xf numFmtId="0" fontId="17" fillId="12" borderId="1" xfId="0" applyFont="1" applyFill="1" applyBorder="1" applyAlignment="1">
      <alignment vertical="top" wrapText="1"/>
    </xf>
    <xf numFmtId="0" fontId="14" fillId="11" borderId="9" xfId="0" applyFont="1" applyFill="1" applyBorder="1" applyAlignment="1">
      <alignment horizontal="left" vertical="top" wrapText="1"/>
    </xf>
    <xf numFmtId="0" fontId="14" fillId="11" borderId="10" xfId="0" applyFont="1" applyFill="1" applyBorder="1" applyAlignment="1">
      <alignment vertical="top" wrapText="1"/>
    </xf>
    <xf numFmtId="0" fontId="14" fillId="12" borderId="10" xfId="0" applyFont="1" applyFill="1" applyBorder="1" applyAlignment="1">
      <alignment vertical="top" wrapText="1"/>
    </xf>
    <xf numFmtId="0" fontId="14" fillId="12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17" fillId="13" borderId="8" xfId="0" applyFont="1" applyFill="1" applyBorder="1" applyAlignment="1">
      <alignment horizontal="left" vertical="center" wrapText="1"/>
    </xf>
    <xf numFmtId="0" fontId="17" fillId="13" borderId="9" xfId="0" applyFont="1" applyFill="1" applyBorder="1" applyAlignment="1">
      <alignment vertical="center" wrapText="1"/>
    </xf>
    <xf numFmtId="0" fontId="17" fillId="13" borderId="9" xfId="0" applyFont="1" applyFill="1" applyBorder="1" applyAlignment="1">
      <alignment horizontal="left" vertical="center" wrapText="1"/>
    </xf>
    <xf numFmtId="0" fontId="18" fillId="13" borderId="11" xfId="0" applyFont="1" applyFill="1" applyBorder="1" applyAlignment="1">
      <alignment vertical="center" wrapText="1"/>
    </xf>
    <xf numFmtId="0" fontId="19" fillId="13" borderId="11" xfId="0" applyFont="1" applyFill="1" applyBorder="1" applyAlignment="1">
      <alignment vertical="center" wrapText="1"/>
    </xf>
    <xf numFmtId="0" fontId="20" fillId="14" borderId="8" xfId="0" applyFont="1" applyFill="1" applyBorder="1" applyAlignment="1">
      <alignment horizontal="left" vertical="center" wrapText="1"/>
    </xf>
    <xf numFmtId="0" fontId="17" fillId="11" borderId="9" xfId="0" applyFont="1" applyFill="1" applyBorder="1" applyAlignment="1">
      <alignment vertical="center" wrapText="1"/>
    </xf>
    <xf numFmtId="0" fontId="17" fillId="11" borderId="9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vertical="top" wrapText="1"/>
    </xf>
    <xf numFmtId="0" fontId="18" fillId="12" borderId="1" xfId="0" applyFont="1" applyFill="1" applyBorder="1" applyAlignment="1">
      <alignment vertical="center" wrapText="1"/>
    </xf>
    <xf numFmtId="0" fontId="24" fillId="15" borderId="8" xfId="0" applyFont="1" applyFill="1" applyBorder="1" applyAlignment="1">
      <alignment horizontal="left" vertical="center" wrapText="1" indent="3"/>
    </xf>
    <xf numFmtId="0" fontId="18" fillId="11" borderId="1" xfId="0" applyFont="1" applyFill="1" applyBorder="1" applyAlignment="1">
      <alignment vertical="center" wrapText="1"/>
    </xf>
    <xf numFmtId="0" fontId="25" fillId="11" borderId="1" xfId="0" applyFont="1" applyFill="1" applyBorder="1" applyAlignment="1">
      <alignment vertical="top" wrapText="1"/>
    </xf>
    <xf numFmtId="0" fontId="26" fillId="16" borderId="8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17" fillId="11" borderId="9" xfId="0" applyFont="1" applyFill="1" applyBorder="1" applyAlignment="1">
      <alignment vertical="top" wrapText="1"/>
    </xf>
    <xf numFmtId="0" fontId="17" fillId="11" borderId="9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vertical="top" wrapText="1"/>
    </xf>
    <xf numFmtId="0" fontId="26" fillId="16" borderId="9" xfId="0" applyFont="1" applyFill="1" applyBorder="1" applyAlignment="1">
      <alignment horizontal="left" vertical="center" wrapText="1"/>
    </xf>
    <xf numFmtId="0" fontId="28" fillId="16" borderId="9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vertical="center" wrapText="1"/>
    </xf>
    <xf numFmtId="0" fontId="24" fillId="11" borderId="1" xfId="0" applyFont="1" applyFill="1" applyBorder="1" applyAlignment="1">
      <alignment vertical="top" wrapText="1"/>
    </xf>
    <xf numFmtId="0" fontId="26" fillId="16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17" borderId="1" xfId="0" applyFill="1" applyBorder="1" applyAlignment="1">
      <alignment vertical="center"/>
    </xf>
    <xf numFmtId="0" fontId="17" fillId="17" borderId="9" xfId="0" applyFont="1" applyFill="1" applyBorder="1" applyAlignment="1">
      <alignment vertical="center" wrapText="1"/>
    </xf>
    <xf numFmtId="0" fontId="17" fillId="17" borderId="9" xfId="0" applyFont="1" applyFill="1" applyBorder="1" applyAlignment="1">
      <alignment horizontal="left" vertical="center" wrapText="1"/>
    </xf>
    <xf numFmtId="0" fontId="18" fillId="17" borderId="11" xfId="0" applyFont="1" applyFill="1" applyBorder="1" applyAlignment="1">
      <alignment vertical="center" wrapText="1"/>
    </xf>
    <xf numFmtId="0" fontId="19" fillId="17" borderId="11" xfId="0" applyFont="1" applyFill="1" applyBorder="1" applyAlignment="1">
      <alignment vertical="center" wrapText="1"/>
    </xf>
    <xf numFmtId="0" fontId="33" fillId="17" borderId="8" xfId="0" applyFont="1" applyFill="1" applyBorder="1" applyAlignment="1">
      <alignment horizontal="left" vertical="center" wrapText="1"/>
    </xf>
    <xf numFmtId="0" fontId="0" fillId="16" borderId="3" xfId="0" applyFill="1" applyBorder="1" applyAlignment="1">
      <alignment vertical="center" wrapText="1"/>
    </xf>
    <xf numFmtId="49" fontId="0" fillId="16" borderId="2" xfId="0" applyNumberFormat="1" applyFill="1" applyBorder="1" applyAlignment="1">
      <alignment vertical="center" wrapText="1"/>
    </xf>
    <xf numFmtId="49" fontId="0" fillId="0" borderId="1" xfId="0" applyNumberFormat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wrapText="1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/>
    </xf>
    <xf numFmtId="164" fontId="0" fillId="4" borderId="1" xfId="0" applyNumberForma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49" fontId="0" fillId="16" borderId="3" xfId="0" applyNumberFormat="1" applyFill="1" applyBorder="1" applyAlignment="1">
      <alignment vertical="center" wrapText="1"/>
    </xf>
    <xf numFmtId="49" fontId="0" fillId="16" borderId="6" xfId="0" applyNumberFormat="1" applyFill="1" applyBorder="1" applyAlignment="1">
      <alignment vertical="center" wrapText="1"/>
    </xf>
    <xf numFmtId="0" fontId="0" fillId="16" borderId="6" xfId="0" applyFill="1" applyBorder="1" applyAlignment="1">
      <alignment vertical="center" wrapText="1"/>
    </xf>
    <xf numFmtId="0" fontId="14" fillId="11" borderId="9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49" fontId="1" fillId="0" borderId="12" xfId="0" applyNumberFormat="1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3" borderId="10" xfId="0" applyFill="1" applyBorder="1" applyAlignment="1">
      <alignment vertical="top"/>
    </xf>
    <xf numFmtId="0" fontId="0" fillId="3" borderId="10" xfId="0" applyFill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vertical="top"/>
    </xf>
    <xf numFmtId="0" fontId="0" fillId="6" borderId="0" xfId="0" applyFill="1" applyAlignment="1">
      <alignment vertical="center"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18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8" borderId="7" xfId="0" applyFont="1" applyFill="1" applyBorder="1" applyAlignment="1">
      <alignment horizontal="left" wrapText="1"/>
    </xf>
    <xf numFmtId="0" fontId="7" fillId="9" borderId="13" xfId="0" applyFont="1" applyFill="1" applyBorder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0" fontId="35" fillId="19" borderId="13" xfId="1" applyBorder="1" applyAlignment="1">
      <alignment horizontal="center"/>
    </xf>
    <xf numFmtId="0" fontId="35" fillId="19" borderId="0" xfId="1" applyAlignment="1">
      <alignment horizontal="center"/>
    </xf>
    <xf numFmtId="0" fontId="0" fillId="6" borderId="0" xfId="0" applyFill="1" applyBorder="1" applyAlignment="1">
      <alignment vertical="center" wrapText="1"/>
    </xf>
    <xf numFmtId="49" fontId="0" fillId="7" borderId="2" xfId="0" applyNumberFormat="1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6" borderId="0" xfId="0" applyFill="1" applyAlignment="1">
      <alignment horizontal="center" vertical="center" wrapText="1"/>
    </xf>
  </cellXfs>
  <cellStyles count="2">
    <cellStyle name="Normal" xfId="0" builtinId="0"/>
    <cellStyle name="Nøytral" xfId="1" builtinId="28"/>
  </cellStyles>
  <dxfs count="21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35</xdr:row>
      <xdr:rowOff>0</xdr:rowOff>
    </xdr:from>
    <xdr:to>
      <xdr:col>2</xdr:col>
      <xdr:colOff>2112009</xdr:colOff>
      <xdr:row>40</xdr:row>
      <xdr:rowOff>156884</xdr:rowOff>
    </xdr:to>
    <xdr:sp macro="" textlink="">
      <xdr:nvSpPr>
        <xdr:cNvPr id="2" name="Rektangel 2">
          <a:extLst>
            <a:ext uri="{FF2B5EF4-FFF2-40B4-BE49-F238E27FC236}">
              <a16:creationId xmlns:a16="http://schemas.microsoft.com/office/drawing/2014/main" id="{525B03F4-D9E8-4FBF-9826-518FC192A809}"/>
            </a:ext>
          </a:extLst>
        </xdr:cNvPr>
        <xdr:cNvSpPr/>
      </xdr:nvSpPr>
      <xdr:spPr>
        <a:xfrm>
          <a:off x="1938618" y="29549912"/>
          <a:ext cx="1921509" cy="1109384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Konsekvens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= Liten konsekvens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 = Middels konsekvens</a:t>
          </a:r>
        </a:p>
        <a:p>
          <a:r>
            <a:rPr lang="nb-NO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 = Stor Konsekvens</a:t>
          </a:r>
        </a:p>
        <a:p>
          <a:r>
            <a:rPr lang="nb-NO">
              <a:solidFill>
                <a:sysClr val="windowText" lastClr="000000"/>
              </a:solidFill>
              <a:effectLst/>
            </a:rPr>
            <a:t>10 = Uakseptabel konsekvens</a:t>
          </a:r>
        </a:p>
        <a:p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2264408</xdr:colOff>
      <xdr:row>35</xdr:row>
      <xdr:rowOff>36868</xdr:rowOff>
    </xdr:from>
    <xdr:to>
      <xdr:col>4</xdr:col>
      <xdr:colOff>33618</xdr:colOff>
      <xdr:row>48</xdr:row>
      <xdr:rowOff>10583</xdr:rowOff>
    </xdr:to>
    <xdr:sp macro="" textlink="">
      <xdr:nvSpPr>
        <xdr:cNvPr id="3" name="Rektangel 3">
          <a:extLst>
            <a:ext uri="{FF2B5EF4-FFF2-40B4-BE49-F238E27FC236}">
              <a16:creationId xmlns:a16="http://schemas.microsoft.com/office/drawing/2014/main" id="{6FBBDD7D-A8D9-4FF2-8ECF-A51BBE09116E}"/>
            </a:ext>
          </a:extLst>
        </xdr:cNvPr>
        <xdr:cNvSpPr/>
      </xdr:nvSpPr>
      <xdr:spPr>
        <a:xfrm>
          <a:off x="4010658" y="21108285"/>
          <a:ext cx="2637543" cy="2450215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Risikogradering: 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 = Liten risko - ingen krav til tiltak/rutiner/kompetanse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4-6 = Middels risko - tiltak vurderes, rutiner/kompetanse vurderes å utarbeides.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&gt;=9 = Stor Risiko - tiltak skal gjennomøføres og rutiner skal utarbeides.</a:t>
          </a:r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179295</xdr:colOff>
      <xdr:row>35</xdr:row>
      <xdr:rowOff>33618</xdr:rowOff>
    </xdr:from>
    <xdr:to>
      <xdr:col>7</xdr:col>
      <xdr:colOff>760433</xdr:colOff>
      <xdr:row>40</xdr:row>
      <xdr:rowOff>147919</xdr:rowOff>
    </xdr:to>
    <xdr:sp macro="" textlink="">
      <xdr:nvSpPr>
        <xdr:cNvPr id="4" name="Rektangel 5">
          <a:extLst>
            <a:ext uri="{FF2B5EF4-FFF2-40B4-BE49-F238E27FC236}">
              <a16:creationId xmlns:a16="http://schemas.microsoft.com/office/drawing/2014/main" id="{5662BD8D-718D-4D57-B06B-845AF3038652}"/>
            </a:ext>
          </a:extLst>
        </xdr:cNvPr>
        <xdr:cNvSpPr/>
      </xdr:nvSpPr>
      <xdr:spPr>
        <a:xfrm>
          <a:off x="8931089" y="29583530"/>
          <a:ext cx="5634991" cy="1066801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Kommentar risikogradering: 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 = Akseptabel risiko for drift/omdømme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4-6 = Omdømme og eller drift kan påvirkes negativt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 = Stor risiko for at vårt omdømme og/eller økonomiske forhold kan bli påvirket i negativ grad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&gt;=10= uakseptabel risiko f.eks risiko for tap av liv eller bedriftens eksistens.</a:t>
          </a:r>
        </a:p>
        <a:p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123265</xdr:colOff>
      <xdr:row>35</xdr:row>
      <xdr:rowOff>11206</xdr:rowOff>
    </xdr:from>
    <xdr:to>
      <xdr:col>2</xdr:col>
      <xdr:colOff>17256</xdr:colOff>
      <xdr:row>41</xdr:row>
      <xdr:rowOff>4573</xdr:rowOff>
    </xdr:to>
    <xdr:sp macro="" textlink="">
      <xdr:nvSpPr>
        <xdr:cNvPr id="5" name="Rektangel 1">
          <a:extLst>
            <a:ext uri="{FF2B5EF4-FFF2-40B4-BE49-F238E27FC236}">
              <a16:creationId xmlns:a16="http://schemas.microsoft.com/office/drawing/2014/main" id="{A6C20064-FA58-4DE3-8B33-1206CAD69802}"/>
            </a:ext>
          </a:extLst>
        </xdr:cNvPr>
        <xdr:cNvSpPr/>
      </xdr:nvSpPr>
      <xdr:spPr>
        <a:xfrm>
          <a:off x="123265" y="29561118"/>
          <a:ext cx="1642109" cy="1136367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Sannsynlighet foren nagtiv hendelse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= Liten sannsynlighet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 = Middels</a:t>
          </a:r>
          <a:endParaRPr lang="nb-NO" sz="1100">
            <a:solidFill>
              <a:sysClr val="windowText" lastClr="000000"/>
            </a:solidFill>
          </a:endParaRPr>
        </a:p>
        <a:p>
          <a:pPr algn="l"/>
          <a:r>
            <a:rPr lang="nb-NO" sz="1100" baseline="0">
              <a:solidFill>
                <a:sysClr val="windowText" lastClr="000000"/>
              </a:solidFill>
            </a:rPr>
            <a:t>3 = Stor</a:t>
          </a:r>
        </a:p>
        <a:p>
          <a:pPr algn="l"/>
          <a:endParaRPr lang="nb-NO" sz="1100" baseline="0">
            <a:solidFill>
              <a:sysClr val="windowText" lastClr="000000"/>
            </a:solidFill>
          </a:endParaRPr>
        </a:p>
        <a:p>
          <a:pPr algn="l"/>
          <a:endParaRPr lang="nb-NO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25</xdr:row>
      <xdr:rowOff>0</xdr:rowOff>
    </xdr:from>
    <xdr:to>
      <xdr:col>0</xdr:col>
      <xdr:colOff>2112009</xdr:colOff>
      <xdr:row>30</xdr:row>
      <xdr:rowOff>156884</xdr:rowOff>
    </xdr:to>
    <xdr:sp macro="" textlink="">
      <xdr:nvSpPr>
        <xdr:cNvPr id="2" name="Rektangel 2">
          <a:extLst>
            <a:ext uri="{FF2B5EF4-FFF2-40B4-BE49-F238E27FC236}">
              <a16:creationId xmlns:a16="http://schemas.microsoft.com/office/drawing/2014/main" id="{03CDB930-5390-4103-A1F4-DA89B4A466E6}"/>
            </a:ext>
          </a:extLst>
        </xdr:cNvPr>
        <xdr:cNvSpPr/>
      </xdr:nvSpPr>
      <xdr:spPr>
        <a:xfrm>
          <a:off x="2087880" y="26780490"/>
          <a:ext cx="1921509" cy="1071284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Konsekvens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= Liten konsekvens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 = Middels konsekvens</a:t>
          </a:r>
        </a:p>
        <a:p>
          <a:r>
            <a:rPr lang="nb-NO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 = Stor Konsekvens</a:t>
          </a:r>
        </a:p>
        <a:p>
          <a:r>
            <a:rPr lang="nb-NO">
              <a:solidFill>
                <a:sysClr val="windowText" lastClr="000000"/>
              </a:solidFill>
              <a:effectLst/>
            </a:rPr>
            <a:t>10 = Uakseptabel konsekvens</a:t>
          </a:r>
        </a:p>
        <a:p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2264408</xdr:colOff>
      <xdr:row>25</xdr:row>
      <xdr:rowOff>36868</xdr:rowOff>
    </xdr:from>
    <xdr:to>
      <xdr:col>3</xdr:col>
      <xdr:colOff>33618</xdr:colOff>
      <xdr:row>30</xdr:row>
      <xdr:rowOff>179295</xdr:rowOff>
    </xdr:to>
    <xdr:sp macro="" textlink="">
      <xdr:nvSpPr>
        <xdr:cNvPr id="3" name="Rektangel 3">
          <a:extLst>
            <a:ext uri="{FF2B5EF4-FFF2-40B4-BE49-F238E27FC236}">
              <a16:creationId xmlns:a16="http://schemas.microsoft.com/office/drawing/2014/main" id="{4249ED31-447E-4724-9CF5-9D9AE7114EA9}"/>
            </a:ext>
          </a:extLst>
        </xdr:cNvPr>
        <xdr:cNvSpPr/>
      </xdr:nvSpPr>
      <xdr:spPr>
        <a:xfrm>
          <a:off x="4161788" y="26817358"/>
          <a:ext cx="7229440" cy="1056827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Risikogradering: 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 = Liten risko - ingen krav til tiltak/rutiner/kompetanse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4-6 = Middels risko - tiltak vurderes, rutiner/kompetanse vurderes å utarbeides.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&gt;=9 = Stor Risiko - tiltak skal gjennomøføres og rutiner skal utarbeides.</a:t>
          </a:r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179295</xdr:colOff>
      <xdr:row>25</xdr:row>
      <xdr:rowOff>33618</xdr:rowOff>
    </xdr:from>
    <xdr:to>
      <xdr:col>6</xdr:col>
      <xdr:colOff>760433</xdr:colOff>
      <xdr:row>30</xdr:row>
      <xdr:rowOff>147919</xdr:rowOff>
    </xdr:to>
    <xdr:sp macro="" textlink="">
      <xdr:nvSpPr>
        <xdr:cNvPr id="4" name="Rektangel 5">
          <a:extLst>
            <a:ext uri="{FF2B5EF4-FFF2-40B4-BE49-F238E27FC236}">
              <a16:creationId xmlns:a16="http://schemas.microsoft.com/office/drawing/2014/main" id="{519031BD-672D-4297-93B2-F6EF271E03F1}"/>
            </a:ext>
          </a:extLst>
        </xdr:cNvPr>
        <xdr:cNvSpPr/>
      </xdr:nvSpPr>
      <xdr:spPr>
        <a:xfrm>
          <a:off x="11536905" y="26814108"/>
          <a:ext cx="6067538" cy="1028701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Kommentar risikogradering: 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 = Akseptabel risiko for drift/omdømme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4-6 = Omdømme og eller drift kan påvirkes negativt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 = Stor risiko for at vårt omdømme og/eller økonomiske forhold kan bli påvirket i negativ grad</a:t>
          </a: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&gt;=10= uakseptabel risiko f.eks risiko for tap av liv eller bedriftens eksistens.</a:t>
          </a:r>
        </a:p>
        <a:p>
          <a:endParaRPr lang="nb-NO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0</xdr:colOff>
      <xdr:row>25</xdr:row>
      <xdr:rowOff>11206</xdr:rowOff>
    </xdr:from>
    <xdr:to>
      <xdr:col>0</xdr:col>
      <xdr:colOff>17256</xdr:colOff>
      <xdr:row>31</xdr:row>
      <xdr:rowOff>4573</xdr:rowOff>
    </xdr:to>
    <xdr:sp macro="" textlink="">
      <xdr:nvSpPr>
        <xdr:cNvPr id="5" name="Rektangel 1">
          <a:extLst>
            <a:ext uri="{FF2B5EF4-FFF2-40B4-BE49-F238E27FC236}">
              <a16:creationId xmlns:a16="http://schemas.microsoft.com/office/drawing/2014/main" id="{A1B66F40-8816-4D8F-9CE3-358EFEE80671}"/>
            </a:ext>
          </a:extLst>
        </xdr:cNvPr>
        <xdr:cNvSpPr/>
      </xdr:nvSpPr>
      <xdr:spPr>
        <a:xfrm>
          <a:off x="123265" y="26791696"/>
          <a:ext cx="1791371" cy="1090647"/>
        </a:xfrm>
        <a:prstGeom prst="rect">
          <a:avLst/>
        </a:prstGeom>
        <a:solidFill>
          <a:schemeClr val="accent4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Sannsynlighet foren nagtiv hendelse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= Liten sannsynlighet</a:t>
          </a:r>
          <a:endParaRPr lang="nb-NO">
            <a:solidFill>
              <a:sysClr val="windowText" lastClr="000000"/>
            </a:solidFill>
            <a:effectLst/>
          </a:endParaRPr>
        </a:p>
        <a:p>
          <a:r>
            <a:rPr lang="nb-NO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 = Middels</a:t>
          </a:r>
          <a:endParaRPr lang="nb-NO" sz="1100">
            <a:solidFill>
              <a:sysClr val="windowText" lastClr="000000"/>
            </a:solidFill>
          </a:endParaRPr>
        </a:p>
        <a:p>
          <a:pPr algn="l"/>
          <a:r>
            <a:rPr lang="nb-NO" sz="1100" baseline="0">
              <a:solidFill>
                <a:sysClr val="windowText" lastClr="000000"/>
              </a:solidFill>
            </a:rPr>
            <a:t>3 = Stor</a:t>
          </a:r>
        </a:p>
        <a:p>
          <a:pPr algn="l"/>
          <a:endParaRPr lang="nb-NO" sz="1100" baseline="0">
            <a:solidFill>
              <a:sysClr val="windowText" lastClr="000000"/>
            </a:solidFill>
          </a:endParaRPr>
        </a:p>
        <a:p>
          <a:pPr algn="l"/>
          <a:endParaRPr lang="nb-NO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T36"/>
  <sheetViews>
    <sheetView topLeftCell="K1" zoomScale="85" zoomScaleNormal="85" workbookViewId="0">
      <pane ySplit="2" topLeftCell="A21" activePane="bottomLeft" state="frozen"/>
      <selection pane="bottomLeft" activeCell="U28" sqref="U28"/>
    </sheetView>
  </sheetViews>
  <sheetFormatPr baseColWidth="10" defaultColWidth="9.265625" defaultRowHeight="14.25" x14ac:dyDescent="0.45"/>
  <cols>
    <col min="1" max="2" width="26.265625" style="2" customWidth="1"/>
    <col min="3" max="3" width="37.3984375" style="2" bestFit="1" customWidth="1"/>
    <col min="4" max="4" width="35.59765625" style="11" bestFit="1" customWidth="1"/>
    <col min="5" max="5" width="42.73046875" style="11" bestFit="1" customWidth="1"/>
    <col min="6" max="6" width="11.73046875" style="2" bestFit="1" customWidth="1"/>
    <col min="7" max="7" width="12.265625" style="2" bestFit="1" customWidth="1"/>
    <col min="8" max="8" width="11" style="2" bestFit="1" customWidth="1"/>
    <col min="9" max="9" width="28" style="2" bestFit="1" customWidth="1"/>
    <col min="10" max="10" width="16.265625" style="2" customWidth="1"/>
    <col min="11" max="11" width="30.59765625" style="2" customWidth="1"/>
    <col min="12" max="12" width="10.59765625" style="2" bestFit="1" customWidth="1"/>
    <col min="13" max="13" width="14.73046875" style="130" hidden="1" customWidth="1"/>
    <col min="14" max="14" width="18.265625" style="2" bestFit="1" customWidth="1"/>
    <col min="15" max="15" width="15.73046875" style="2" bestFit="1" customWidth="1"/>
    <col min="16" max="16" width="15" style="2" bestFit="1" customWidth="1"/>
    <col min="17" max="17" width="28.73046875" style="11" bestFit="1" customWidth="1"/>
    <col min="18" max="18" width="28.73046875" style="11" customWidth="1"/>
    <col min="19" max="19" width="22.1328125" style="138" bestFit="1" customWidth="1"/>
    <col min="20" max="20" width="15.53125" style="2" bestFit="1" customWidth="1"/>
    <col min="21" max="16384" width="9.265625" style="2"/>
  </cols>
  <sheetData>
    <row r="1" spans="1:20" ht="21" x14ac:dyDescent="0.65">
      <c r="A1" s="1" t="s">
        <v>7</v>
      </c>
      <c r="B1" s="1"/>
    </row>
    <row r="2" spans="1:20" ht="43.15" thickBot="1" x14ac:dyDescent="0.5">
      <c r="A2" s="3" t="s">
        <v>0</v>
      </c>
      <c r="B2" s="32" t="s">
        <v>189</v>
      </c>
      <c r="C2" s="12" t="s">
        <v>22</v>
      </c>
      <c r="D2" s="12" t="s">
        <v>6</v>
      </c>
      <c r="E2" s="12" t="s">
        <v>14</v>
      </c>
      <c r="F2" s="14" t="s">
        <v>17</v>
      </c>
      <c r="G2" s="14" t="s">
        <v>16</v>
      </c>
      <c r="H2" s="14" t="s">
        <v>18</v>
      </c>
      <c r="I2" s="13" t="s">
        <v>141</v>
      </c>
      <c r="J2" s="13" t="s">
        <v>5</v>
      </c>
      <c r="K2" s="4" t="s">
        <v>193</v>
      </c>
      <c r="L2" s="4" t="s">
        <v>13</v>
      </c>
      <c r="M2" s="131" t="s">
        <v>15</v>
      </c>
      <c r="N2" s="13" t="s">
        <v>19</v>
      </c>
      <c r="O2" s="13" t="s">
        <v>20</v>
      </c>
      <c r="P2" s="13" t="s">
        <v>21</v>
      </c>
      <c r="Q2" s="12" t="s">
        <v>1</v>
      </c>
      <c r="R2" s="3" t="s">
        <v>372</v>
      </c>
      <c r="S2" s="3" t="s">
        <v>372</v>
      </c>
      <c r="T2" s="3" t="s">
        <v>372</v>
      </c>
    </row>
    <row r="3" spans="1:20" ht="18.399999999999999" hidden="1" thickBot="1" x14ac:dyDescent="0.6">
      <c r="A3" s="15" t="s">
        <v>50</v>
      </c>
      <c r="B3" s="15"/>
      <c r="C3" s="5"/>
      <c r="D3" s="6"/>
      <c r="E3" s="6"/>
      <c r="F3" s="5"/>
      <c r="G3" s="5"/>
      <c r="H3" s="5"/>
      <c r="I3" s="5"/>
      <c r="J3" s="5"/>
      <c r="K3" s="5"/>
      <c r="L3" s="5"/>
      <c r="M3" s="23"/>
      <c r="N3" s="5"/>
      <c r="O3" s="5"/>
      <c r="P3" s="5"/>
      <c r="Q3" s="6"/>
      <c r="R3" s="6"/>
      <c r="S3" s="2"/>
    </row>
    <row r="4" spans="1:20" ht="46.15" customHeight="1" thickBot="1" x14ac:dyDescent="0.5">
      <c r="A4" s="43" t="s">
        <v>2</v>
      </c>
      <c r="B4" s="59" t="s">
        <v>178</v>
      </c>
      <c r="C4" s="45" t="s">
        <v>192</v>
      </c>
      <c r="D4" s="43" t="s">
        <v>190</v>
      </c>
      <c r="E4" s="43" t="s">
        <v>179</v>
      </c>
      <c r="F4" s="5">
        <v>1</v>
      </c>
      <c r="G4" s="5">
        <v>5</v>
      </c>
      <c r="H4" s="5">
        <f t="shared" ref="H4" si="0">F4*G4</f>
        <v>5</v>
      </c>
      <c r="I4" s="5" t="s">
        <v>225</v>
      </c>
      <c r="J4" s="5" t="s">
        <v>197</v>
      </c>
      <c r="K4" s="5" t="s">
        <v>194</v>
      </c>
      <c r="L4" s="5"/>
      <c r="M4" s="132"/>
      <c r="N4" s="5">
        <v>1</v>
      </c>
      <c r="O4" s="5">
        <v>2</v>
      </c>
      <c r="P4" s="5">
        <f t="shared" ref="P4" si="1">N4*O4</f>
        <v>2</v>
      </c>
      <c r="Q4" s="43" t="s">
        <v>233</v>
      </c>
      <c r="R4" s="138" t="s">
        <v>373</v>
      </c>
      <c r="S4" s="138" t="s">
        <v>392</v>
      </c>
      <c r="T4" s="2" t="s">
        <v>423</v>
      </c>
    </row>
    <row r="5" spans="1:20" ht="28.9" thickBot="1" x14ac:dyDescent="0.5">
      <c r="A5" s="43" t="s">
        <v>2</v>
      </c>
      <c r="B5" s="59" t="s">
        <v>180</v>
      </c>
      <c r="C5" s="45" t="s">
        <v>181</v>
      </c>
      <c r="D5" s="43" t="s">
        <v>182</v>
      </c>
      <c r="E5" s="43" t="s">
        <v>183</v>
      </c>
      <c r="F5" s="5">
        <v>1</v>
      </c>
      <c r="G5" s="5">
        <v>6</v>
      </c>
      <c r="H5" s="5">
        <f t="shared" ref="H5:H24" si="2">F5*G5</f>
        <v>6</v>
      </c>
      <c r="I5" s="5" t="s">
        <v>226</v>
      </c>
      <c r="J5" s="5" t="s">
        <v>197</v>
      </c>
      <c r="K5" s="5" t="s">
        <v>194</v>
      </c>
      <c r="L5" s="5"/>
      <c r="M5" s="132"/>
      <c r="N5" s="5">
        <v>1</v>
      </c>
      <c r="O5" s="5">
        <v>3</v>
      </c>
      <c r="P5" s="5">
        <f t="shared" ref="P5:P10" si="3">N5*O5</f>
        <v>3</v>
      </c>
      <c r="Q5" s="43" t="s">
        <v>232</v>
      </c>
      <c r="R5" s="138" t="s">
        <v>373</v>
      </c>
      <c r="S5" s="138" t="s">
        <v>392</v>
      </c>
      <c r="T5" s="2" t="s">
        <v>423</v>
      </c>
    </row>
    <row r="6" spans="1:20" ht="57.4" hidden="1" thickBot="1" x14ac:dyDescent="0.5">
      <c r="A6" s="43" t="s">
        <v>2</v>
      </c>
      <c r="B6" s="59" t="s">
        <v>184</v>
      </c>
      <c r="C6" s="45" t="s">
        <v>33</v>
      </c>
      <c r="D6" s="43" t="s">
        <v>102</v>
      </c>
      <c r="E6" s="43" t="s">
        <v>105</v>
      </c>
      <c r="F6" s="5">
        <v>3</v>
      </c>
      <c r="G6" s="5">
        <v>3</v>
      </c>
      <c r="H6" s="5">
        <f>F6*G6</f>
        <v>9</v>
      </c>
      <c r="I6" s="56" t="s">
        <v>166</v>
      </c>
      <c r="J6" s="6" t="s">
        <v>167</v>
      </c>
      <c r="K6" s="5" t="s">
        <v>165</v>
      </c>
      <c r="L6" s="5" t="s">
        <v>155</v>
      </c>
      <c r="M6" s="23"/>
      <c r="N6" s="5">
        <v>1</v>
      </c>
      <c r="O6" s="5">
        <v>2</v>
      </c>
      <c r="P6" s="5">
        <f>N6*O6</f>
        <v>2</v>
      </c>
      <c r="Q6" s="43" t="s">
        <v>109</v>
      </c>
      <c r="R6" s="138" t="s">
        <v>373</v>
      </c>
      <c r="S6" s="54" t="s">
        <v>146</v>
      </c>
    </row>
    <row r="7" spans="1:20" ht="57.4" thickBot="1" x14ac:dyDescent="0.5">
      <c r="A7" s="44" t="s">
        <v>2</v>
      </c>
      <c r="B7" s="60" t="s">
        <v>178</v>
      </c>
      <c r="C7" s="46" t="s">
        <v>34</v>
      </c>
      <c r="D7" s="44" t="s">
        <v>103</v>
      </c>
      <c r="E7" s="44" t="s">
        <v>198</v>
      </c>
      <c r="F7" s="5">
        <v>1</v>
      </c>
      <c r="G7" s="5">
        <v>1</v>
      </c>
      <c r="H7" s="5">
        <f t="shared" si="2"/>
        <v>1</v>
      </c>
      <c r="I7" s="6" t="s">
        <v>168</v>
      </c>
      <c r="J7" s="6" t="s">
        <v>169</v>
      </c>
      <c r="K7" s="5" t="s">
        <v>194</v>
      </c>
      <c r="L7" s="68"/>
      <c r="M7" s="133"/>
      <c r="N7" s="5">
        <v>1</v>
      </c>
      <c r="O7" s="5">
        <v>3</v>
      </c>
      <c r="P7" s="5">
        <f t="shared" si="3"/>
        <v>3</v>
      </c>
      <c r="Q7" s="44" t="s">
        <v>199</v>
      </c>
      <c r="R7" s="138" t="s">
        <v>373</v>
      </c>
      <c r="S7" s="138" t="s">
        <v>392</v>
      </c>
      <c r="T7" s="2" t="s">
        <v>423</v>
      </c>
    </row>
    <row r="8" spans="1:20" ht="28.9" hidden="1" thickBot="1" x14ac:dyDescent="0.5">
      <c r="A8" s="44" t="s">
        <v>2</v>
      </c>
      <c r="B8" s="60" t="s">
        <v>184</v>
      </c>
      <c r="C8" s="46" t="s">
        <v>100</v>
      </c>
      <c r="D8" s="44" t="s">
        <v>104</v>
      </c>
      <c r="E8" s="44" t="s">
        <v>106</v>
      </c>
      <c r="F8" s="5">
        <v>1</v>
      </c>
      <c r="G8" s="5">
        <v>1</v>
      </c>
      <c r="H8" s="5">
        <f t="shared" si="2"/>
        <v>1</v>
      </c>
      <c r="I8" s="5"/>
      <c r="J8" s="5"/>
      <c r="K8" s="5"/>
      <c r="L8" s="5"/>
      <c r="M8" s="23"/>
      <c r="N8" s="5">
        <v>1</v>
      </c>
      <c r="O8" s="5">
        <v>3</v>
      </c>
      <c r="P8" s="5">
        <f t="shared" si="3"/>
        <v>3</v>
      </c>
      <c r="Q8" s="44" t="s">
        <v>110</v>
      </c>
      <c r="R8" s="138" t="s">
        <v>373</v>
      </c>
      <c r="S8" s="54" t="s">
        <v>146</v>
      </c>
    </row>
    <row r="9" spans="1:20" ht="43.15" thickBot="1" x14ac:dyDescent="0.5">
      <c r="A9" s="44" t="s">
        <v>3</v>
      </c>
      <c r="B9" s="60" t="s">
        <v>178</v>
      </c>
      <c r="C9" s="46" t="s">
        <v>101</v>
      </c>
      <c r="D9" s="44" t="s">
        <v>200</v>
      </c>
      <c r="E9" s="44" t="s">
        <v>107</v>
      </c>
      <c r="F9" s="5">
        <v>1</v>
      </c>
      <c r="G9" s="5">
        <v>2</v>
      </c>
      <c r="H9" s="5">
        <f t="shared" si="2"/>
        <v>2</v>
      </c>
      <c r="I9" s="6" t="s">
        <v>230</v>
      </c>
      <c r="J9" s="6" t="s">
        <v>170</v>
      </c>
      <c r="K9" s="5" t="s">
        <v>231</v>
      </c>
      <c r="L9" s="57"/>
      <c r="M9" s="132"/>
      <c r="N9" s="5">
        <v>1</v>
      </c>
      <c r="O9" s="5">
        <v>1</v>
      </c>
      <c r="P9" s="5">
        <f t="shared" si="3"/>
        <v>1</v>
      </c>
      <c r="Q9" s="44" t="s">
        <v>111</v>
      </c>
      <c r="R9" s="138" t="s">
        <v>373</v>
      </c>
      <c r="S9" s="138" t="s">
        <v>392</v>
      </c>
      <c r="T9" s="2" t="s">
        <v>423</v>
      </c>
    </row>
    <row r="10" spans="1:20" ht="43.15" hidden="1" thickBot="1" x14ac:dyDescent="0.5">
      <c r="A10" s="44" t="s">
        <v>3</v>
      </c>
      <c r="B10" s="60" t="s">
        <v>185</v>
      </c>
      <c r="C10" s="46" t="s">
        <v>35</v>
      </c>
      <c r="D10" s="44" t="s">
        <v>36</v>
      </c>
      <c r="E10" s="44" t="s">
        <v>108</v>
      </c>
      <c r="F10" s="5">
        <v>1</v>
      </c>
      <c r="G10" s="5">
        <v>1</v>
      </c>
      <c r="H10" s="5">
        <f t="shared" si="2"/>
        <v>1</v>
      </c>
      <c r="I10" s="6" t="s">
        <v>171</v>
      </c>
      <c r="J10" s="6" t="s">
        <v>172</v>
      </c>
      <c r="K10" s="5" t="s">
        <v>144</v>
      </c>
      <c r="L10" s="57" t="s">
        <v>173</v>
      </c>
      <c r="M10" s="23"/>
      <c r="N10" s="5">
        <v>1</v>
      </c>
      <c r="O10" s="5">
        <v>2</v>
      </c>
      <c r="P10" s="5">
        <f t="shared" si="3"/>
        <v>2</v>
      </c>
      <c r="Q10" s="44" t="s">
        <v>37</v>
      </c>
      <c r="R10" s="138" t="s">
        <v>373</v>
      </c>
      <c r="S10" s="54" t="s">
        <v>146</v>
      </c>
    </row>
    <row r="11" spans="1:20" ht="18.399999999999999" hidden="1" thickBot="1" x14ac:dyDescent="0.6">
      <c r="A11" s="16" t="s">
        <v>8</v>
      </c>
      <c r="B11" s="61"/>
      <c r="C11" s="17"/>
      <c r="D11" s="10"/>
      <c r="E11" s="10"/>
      <c r="F11" s="17"/>
      <c r="G11" s="17"/>
      <c r="H11" s="17"/>
      <c r="I11" s="17"/>
      <c r="J11" s="17"/>
      <c r="K11" s="17"/>
      <c r="L11" s="17"/>
      <c r="M11" s="24"/>
      <c r="N11" s="17"/>
      <c r="O11" s="17"/>
      <c r="P11" s="17"/>
      <c r="Q11" s="10"/>
      <c r="R11" s="138" t="s">
        <v>373</v>
      </c>
      <c r="S11" s="2"/>
    </row>
    <row r="12" spans="1:20" ht="43.15" thickBot="1" x14ac:dyDescent="0.5">
      <c r="A12" s="43" t="s">
        <v>38</v>
      </c>
      <c r="B12" s="62" t="s">
        <v>186</v>
      </c>
      <c r="C12" s="43" t="s">
        <v>39</v>
      </c>
      <c r="D12" s="43" t="s">
        <v>66</v>
      </c>
      <c r="E12" s="43" t="s">
        <v>40</v>
      </c>
      <c r="F12" s="17">
        <v>2</v>
      </c>
      <c r="G12" s="17">
        <v>3</v>
      </c>
      <c r="H12" s="17">
        <f t="shared" si="2"/>
        <v>6</v>
      </c>
      <c r="I12" s="10" t="s">
        <v>150</v>
      </c>
      <c r="J12" s="17" t="s">
        <v>229</v>
      </c>
      <c r="K12" s="17" t="s">
        <v>194</v>
      </c>
      <c r="L12" s="55"/>
      <c r="M12" s="134"/>
      <c r="N12" s="17">
        <v>1</v>
      </c>
      <c r="O12" s="17">
        <v>1</v>
      </c>
      <c r="P12" s="17">
        <f t="shared" ref="P12:P33" si="4">N12*O12</f>
        <v>1</v>
      </c>
      <c r="Q12" s="43" t="s">
        <v>79</v>
      </c>
      <c r="R12" s="138" t="s">
        <v>373</v>
      </c>
      <c r="S12" s="138" t="s">
        <v>392</v>
      </c>
      <c r="T12" s="2" t="s">
        <v>423</v>
      </c>
    </row>
    <row r="13" spans="1:20" ht="92.25" customHeight="1" thickBot="1" x14ac:dyDescent="0.5">
      <c r="A13" s="44" t="s">
        <v>51</v>
      </c>
      <c r="B13" s="62" t="s">
        <v>186</v>
      </c>
      <c r="C13" s="44" t="s">
        <v>59</v>
      </c>
      <c r="D13" s="44" t="s">
        <v>201</v>
      </c>
      <c r="E13" s="44" t="s">
        <v>195</v>
      </c>
      <c r="F13" s="17">
        <v>2</v>
      </c>
      <c r="G13" s="17">
        <v>3</v>
      </c>
      <c r="H13" s="17">
        <f t="shared" si="2"/>
        <v>6</v>
      </c>
      <c r="I13" s="7" t="s">
        <v>203</v>
      </c>
      <c r="J13" s="7" t="s">
        <v>202</v>
      </c>
      <c r="K13" s="7" t="s">
        <v>177</v>
      </c>
      <c r="L13" s="7"/>
      <c r="M13" s="135"/>
      <c r="N13" s="17">
        <v>2</v>
      </c>
      <c r="O13" s="17">
        <v>2</v>
      </c>
      <c r="P13" s="17">
        <f t="shared" si="4"/>
        <v>4</v>
      </c>
      <c r="Q13" s="44" t="s">
        <v>80</v>
      </c>
      <c r="R13" s="138" t="s">
        <v>373</v>
      </c>
      <c r="S13" s="138" t="s">
        <v>392</v>
      </c>
      <c r="T13" s="2" t="s">
        <v>423</v>
      </c>
    </row>
    <row r="14" spans="1:20" ht="71.650000000000006" thickBot="1" x14ac:dyDescent="0.5">
      <c r="A14" s="44" t="s">
        <v>51</v>
      </c>
      <c r="B14" s="62" t="s">
        <v>186</v>
      </c>
      <c r="C14" s="44" t="s">
        <v>41</v>
      </c>
      <c r="D14" s="44" t="s">
        <v>204</v>
      </c>
      <c r="E14" s="44" t="s">
        <v>205</v>
      </c>
      <c r="F14" s="17">
        <v>2</v>
      </c>
      <c r="G14" s="17">
        <v>5</v>
      </c>
      <c r="H14" s="17">
        <f t="shared" si="2"/>
        <v>10</v>
      </c>
      <c r="I14" s="7" t="s">
        <v>203</v>
      </c>
      <c r="J14" s="7" t="s">
        <v>202</v>
      </c>
      <c r="K14" s="7" t="s">
        <v>177</v>
      </c>
      <c r="L14" s="7"/>
      <c r="M14" s="135"/>
      <c r="N14" s="17">
        <v>2</v>
      </c>
      <c r="O14" s="17">
        <v>2</v>
      </c>
      <c r="P14" s="17">
        <f t="shared" si="4"/>
        <v>4</v>
      </c>
      <c r="Q14" s="44" t="s">
        <v>196</v>
      </c>
      <c r="R14" s="138" t="s">
        <v>373</v>
      </c>
      <c r="S14" s="138" t="s">
        <v>392</v>
      </c>
      <c r="T14" s="2" t="s">
        <v>423</v>
      </c>
    </row>
    <row r="15" spans="1:20" ht="28.9" hidden="1" thickBot="1" x14ac:dyDescent="0.5">
      <c r="A15" s="44" t="s">
        <v>52</v>
      </c>
      <c r="B15" s="63" t="s">
        <v>184</v>
      </c>
      <c r="C15" s="44" t="s">
        <v>60</v>
      </c>
      <c r="D15" s="44" t="s">
        <v>67</v>
      </c>
      <c r="E15" s="44" t="s">
        <v>72</v>
      </c>
      <c r="F15" s="17">
        <v>1</v>
      </c>
      <c r="G15" s="17">
        <v>1</v>
      </c>
      <c r="H15" s="17">
        <f t="shared" si="2"/>
        <v>1</v>
      </c>
      <c r="I15" s="7"/>
      <c r="J15" s="7"/>
      <c r="K15" s="7"/>
      <c r="L15" s="7"/>
      <c r="M15" s="25"/>
      <c r="N15" s="17">
        <v>1</v>
      </c>
      <c r="O15" s="17">
        <v>1</v>
      </c>
      <c r="P15" s="17">
        <f t="shared" si="4"/>
        <v>1</v>
      </c>
      <c r="Q15" s="44" t="s">
        <v>81</v>
      </c>
      <c r="R15" s="138" t="s">
        <v>373</v>
      </c>
      <c r="S15" s="2" t="s">
        <v>145</v>
      </c>
    </row>
    <row r="16" spans="1:20" ht="111" customHeight="1" thickBot="1" x14ac:dyDescent="0.5">
      <c r="A16" s="128" t="s">
        <v>51</v>
      </c>
      <c r="B16" s="129" t="s">
        <v>187</v>
      </c>
      <c r="C16" s="128" t="s">
        <v>355</v>
      </c>
      <c r="D16" s="128" t="s">
        <v>356</v>
      </c>
      <c r="E16" s="128" t="s">
        <v>357</v>
      </c>
      <c r="F16" s="17">
        <v>2</v>
      </c>
      <c r="G16" s="17">
        <v>5</v>
      </c>
      <c r="H16" s="17">
        <f t="shared" si="2"/>
        <v>10</v>
      </c>
      <c r="I16" s="7" t="s">
        <v>358</v>
      </c>
      <c r="J16" s="7" t="s">
        <v>359</v>
      </c>
      <c r="K16" s="7" t="s">
        <v>194</v>
      </c>
      <c r="L16" s="58"/>
      <c r="M16" s="137">
        <v>44851</v>
      </c>
      <c r="N16" s="17">
        <v>1</v>
      </c>
      <c r="O16" s="17">
        <v>5</v>
      </c>
      <c r="P16" s="17">
        <f t="shared" si="4"/>
        <v>5</v>
      </c>
      <c r="Q16" s="44" t="s">
        <v>360</v>
      </c>
      <c r="R16" s="138" t="s">
        <v>373</v>
      </c>
      <c r="S16" s="138" t="s">
        <v>392</v>
      </c>
      <c r="T16" s="2" t="s">
        <v>423</v>
      </c>
    </row>
    <row r="17" spans="1:20" ht="111" customHeight="1" thickBot="1" x14ac:dyDescent="0.5">
      <c r="A17" s="128" t="s">
        <v>51</v>
      </c>
      <c r="B17" s="129" t="s">
        <v>187</v>
      </c>
      <c r="C17" s="128" t="s">
        <v>374</v>
      </c>
      <c r="D17" s="128" t="s">
        <v>375</v>
      </c>
      <c r="E17" s="128" t="s">
        <v>376</v>
      </c>
      <c r="F17" s="17">
        <v>1</v>
      </c>
      <c r="G17" s="17">
        <v>3</v>
      </c>
      <c r="H17" s="17">
        <f t="shared" ref="H17" si="5">F17*G17</f>
        <v>3</v>
      </c>
      <c r="I17" s="7" t="s">
        <v>377</v>
      </c>
      <c r="J17" s="7"/>
      <c r="K17" s="7"/>
      <c r="L17" s="58"/>
      <c r="M17" s="137"/>
      <c r="N17" s="17"/>
      <c r="O17" s="17"/>
      <c r="P17" s="17"/>
      <c r="Q17" s="44" t="s">
        <v>378</v>
      </c>
      <c r="R17" s="138" t="s">
        <v>373</v>
      </c>
      <c r="S17" s="138" t="s">
        <v>392</v>
      </c>
      <c r="T17" s="2" t="s">
        <v>423</v>
      </c>
    </row>
    <row r="18" spans="1:20" ht="43.15" thickBot="1" x14ac:dyDescent="0.5">
      <c r="A18" s="44" t="s">
        <v>53</v>
      </c>
      <c r="B18" s="62" t="s">
        <v>186</v>
      </c>
      <c r="C18" s="44" t="s">
        <v>61</v>
      </c>
      <c r="D18" s="44" t="s">
        <v>68</v>
      </c>
      <c r="E18" s="44" t="s">
        <v>206</v>
      </c>
      <c r="F18" s="17">
        <v>2</v>
      </c>
      <c r="G18" s="17">
        <v>5</v>
      </c>
      <c r="H18" s="17">
        <f t="shared" si="2"/>
        <v>10</v>
      </c>
      <c r="I18" s="7" t="s">
        <v>142</v>
      </c>
      <c r="J18" s="7" t="s">
        <v>143</v>
      </c>
      <c r="K18" s="7" t="s">
        <v>228</v>
      </c>
      <c r="L18" s="7"/>
      <c r="M18" s="135"/>
      <c r="N18" s="17">
        <v>1</v>
      </c>
      <c r="O18" s="17">
        <v>1</v>
      </c>
      <c r="P18" s="17">
        <f t="shared" si="4"/>
        <v>1</v>
      </c>
      <c r="Q18" s="44" t="s">
        <v>82</v>
      </c>
      <c r="R18" s="138" t="s">
        <v>373</v>
      </c>
      <c r="S18" s="138" t="s">
        <v>392</v>
      </c>
      <c r="T18" s="2" t="s">
        <v>423</v>
      </c>
    </row>
    <row r="19" spans="1:20" ht="43.15" thickBot="1" x14ac:dyDescent="0.5">
      <c r="A19" s="44" t="s">
        <v>54</v>
      </c>
      <c r="B19" s="62" t="s">
        <v>186</v>
      </c>
      <c r="C19" s="44" t="s">
        <v>61</v>
      </c>
      <c r="D19" s="44" t="s">
        <v>68</v>
      </c>
      <c r="E19" s="44" t="s">
        <v>206</v>
      </c>
      <c r="F19" s="17">
        <v>2</v>
      </c>
      <c r="G19" s="17">
        <v>5</v>
      </c>
      <c r="H19" s="17">
        <f t="shared" si="2"/>
        <v>10</v>
      </c>
      <c r="I19" s="7" t="s">
        <v>142</v>
      </c>
      <c r="J19" s="7" t="s">
        <v>143</v>
      </c>
      <c r="K19" s="7" t="s">
        <v>228</v>
      </c>
      <c r="L19" s="7"/>
      <c r="M19" s="135"/>
      <c r="N19" s="17">
        <v>1</v>
      </c>
      <c r="O19" s="17">
        <v>1</v>
      </c>
      <c r="P19" s="17">
        <f t="shared" si="4"/>
        <v>1</v>
      </c>
      <c r="Q19" s="44" t="s">
        <v>82</v>
      </c>
      <c r="R19" s="138" t="s">
        <v>373</v>
      </c>
      <c r="S19" s="138" t="s">
        <v>392</v>
      </c>
      <c r="T19" s="2" t="s">
        <v>423</v>
      </c>
    </row>
    <row r="20" spans="1:20" ht="28.9" hidden="1" thickBot="1" x14ac:dyDescent="0.5">
      <c r="A20" s="44" t="s">
        <v>55</v>
      </c>
      <c r="B20" s="63" t="s">
        <v>185</v>
      </c>
      <c r="C20" s="44" t="s">
        <v>62</v>
      </c>
      <c r="D20" s="44" t="s">
        <v>69</v>
      </c>
      <c r="E20" s="44" t="s">
        <v>73</v>
      </c>
      <c r="F20" s="17">
        <v>1</v>
      </c>
      <c r="G20" s="17">
        <v>3</v>
      </c>
      <c r="H20" s="17">
        <f t="shared" si="2"/>
        <v>3</v>
      </c>
      <c r="I20" s="7" t="s">
        <v>156</v>
      </c>
      <c r="J20" s="7" t="s">
        <v>157</v>
      </c>
      <c r="K20" s="7"/>
      <c r="L20" s="7"/>
      <c r="M20" s="25"/>
      <c r="N20" s="17">
        <v>1</v>
      </c>
      <c r="O20" s="17">
        <v>1</v>
      </c>
      <c r="P20" s="17">
        <f t="shared" si="4"/>
        <v>1</v>
      </c>
      <c r="Q20" s="44" t="s">
        <v>83</v>
      </c>
      <c r="R20" s="152"/>
      <c r="S20" s="54" t="s">
        <v>144</v>
      </c>
    </row>
    <row r="21" spans="1:20" ht="28.9" thickBot="1" x14ac:dyDescent="0.5">
      <c r="A21" s="128" t="s">
        <v>56</v>
      </c>
      <c r="B21" s="129" t="s">
        <v>187</v>
      </c>
      <c r="C21" s="128" t="s">
        <v>63</v>
      </c>
      <c r="D21" s="128" t="s">
        <v>70</v>
      </c>
      <c r="E21" s="128" t="s">
        <v>74</v>
      </c>
      <c r="F21" s="17">
        <v>1</v>
      </c>
      <c r="G21" s="17">
        <v>5</v>
      </c>
      <c r="H21" s="17">
        <f t="shared" si="2"/>
        <v>5</v>
      </c>
      <c r="I21" s="7" t="s">
        <v>161</v>
      </c>
      <c r="J21" s="7" t="s">
        <v>162</v>
      </c>
      <c r="K21" s="7"/>
      <c r="L21" s="7"/>
      <c r="M21" s="135"/>
      <c r="N21" s="17">
        <v>1</v>
      </c>
      <c r="O21" s="17">
        <v>1</v>
      </c>
      <c r="P21" s="17">
        <f t="shared" si="4"/>
        <v>1</v>
      </c>
      <c r="Q21" s="44" t="s">
        <v>84</v>
      </c>
      <c r="R21" s="138" t="s">
        <v>373</v>
      </c>
      <c r="S21" s="138" t="s">
        <v>392</v>
      </c>
      <c r="T21" s="2" t="s">
        <v>423</v>
      </c>
    </row>
    <row r="22" spans="1:20" ht="28.9" customHeight="1" thickBot="1" x14ac:dyDescent="0.5">
      <c r="A22" s="128" t="s">
        <v>56</v>
      </c>
      <c r="B22" s="129" t="s">
        <v>187</v>
      </c>
      <c r="C22" s="128" t="s">
        <v>393</v>
      </c>
      <c r="D22" s="128" t="s">
        <v>394</v>
      </c>
      <c r="E22" s="128" t="s">
        <v>395</v>
      </c>
      <c r="F22" s="17">
        <v>3</v>
      </c>
      <c r="G22" s="17">
        <v>2</v>
      </c>
      <c r="H22" s="17">
        <f t="shared" si="2"/>
        <v>6</v>
      </c>
      <c r="I22" s="7" t="s">
        <v>396</v>
      </c>
      <c r="J22" s="7" t="s">
        <v>143</v>
      </c>
      <c r="K22" s="7" t="s">
        <v>361</v>
      </c>
      <c r="L22" s="7"/>
      <c r="M22" s="135"/>
      <c r="N22" s="17">
        <v>2</v>
      </c>
      <c r="O22" s="17">
        <v>2</v>
      </c>
      <c r="P22" s="17">
        <f t="shared" si="4"/>
        <v>4</v>
      </c>
      <c r="Q22" s="44" t="s">
        <v>84</v>
      </c>
      <c r="R22" s="138" t="s">
        <v>397</v>
      </c>
      <c r="S22" s="138" t="s">
        <v>392</v>
      </c>
      <c r="T22" s="2" t="s">
        <v>423</v>
      </c>
    </row>
    <row r="23" spans="1:20" ht="28.9" thickBot="1" x14ac:dyDescent="0.5">
      <c r="A23" s="128" t="s">
        <v>57</v>
      </c>
      <c r="B23" s="129" t="s">
        <v>187</v>
      </c>
      <c r="C23" s="128" t="s">
        <v>64</v>
      </c>
      <c r="D23" s="128" t="s">
        <v>71</v>
      </c>
      <c r="E23" s="128" t="s">
        <v>74</v>
      </c>
      <c r="F23" s="17">
        <v>1</v>
      </c>
      <c r="G23" s="17">
        <v>1</v>
      </c>
      <c r="H23" s="17">
        <f t="shared" si="2"/>
        <v>1</v>
      </c>
      <c r="I23" s="7" t="s">
        <v>163</v>
      </c>
      <c r="J23" s="7"/>
      <c r="K23" s="7"/>
      <c r="L23" s="7"/>
      <c r="M23" s="135"/>
      <c r="N23" s="17">
        <v>1</v>
      </c>
      <c r="O23" s="17">
        <v>1</v>
      </c>
      <c r="P23" s="17">
        <f t="shared" si="4"/>
        <v>1</v>
      </c>
      <c r="Q23" s="44" t="s">
        <v>227</v>
      </c>
      <c r="R23" s="138" t="s">
        <v>373</v>
      </c>
      <c r="S23" s="138" t="s">
        <v>392</v>
      </c>
      <c r="T23" s="2" t="s">
        <v>423</v>
      </c>
    </row>
    <row r="24" spans="1:20" ht="43.15" thickBot="1" x14ac:dyDescent="0.5">
      <c r="A24" s="128" t="s">
        <v>58</v>
      </c>
      <c r="B24" s="139" t="s">
        <v>187</v>
      </c>
      <c r="C24" s="128" t="s">
        <v>65</v>
      </c>
      <c r="D24" s="128" t="s">
        <v>26</v>
      </c>
      <c r="E24" s="128" t="s">
        <v>75</v>
      </c>
      <c r="F24" s="17">
        <v>1</v>
      </c>
      <c r="G24" s="17">
        <v>1</v>
      </c>
      <c r="H24" s="17">
        <f t="shared" si="2"/>
        <v>1</v>
      </c>
      <c r="I24" s="7" t="s">
        <v>191</v>
      </c>
      <c r="J24" s="7" t="s">
        <v>164</v>
      </c>
      <c r="K24" s="7"/>
      <c r="L24" s="7"/>
      <c r="M24" s="135"/>
      <c r="N24" s="17">
        <v>1</v>
      </c>
      <c r="O24" s="17">
        <v>1</v>
      </c>
      <c r="P24" s="17">
        <f t="shared" si="4"/>
        <v>1</v>
      </c>
      <c r="Q24" s="44" t="s">
        <v>85</v>
      </c>
      <c r="R24" s="138" t="s">
        <v>373</v>
      </c>
      <c r="S24" s="138" t="s">
        <v>392</v>
      </c>
      <c r="T24" s="2" t="s">
        <v>423</v>
      </c>
    </row>
    <row r="25" spans="1:20" ht="18" hidden="1" x14ac:dyDescent="0.55000000000000004">
      <c r="A25" s="18" t="s">
        <v>9</v>
      </c>
      <c r="B25" s="64"/>
      <c r="C25" s="19"/>
      <c r="D25" s="26"/>
      <c r="E25" s="20"/>
      <c r="F25" s="19"/>
      <c r="G25" s="19"/>
      <c r="H25" s="19"/>
      <c r="I25" s="19"/>
      <c r="J25" s="19"/>
      <c r="K25" s="19"/>
      <c r="L25" s="19"/>
      <c r="M25" s="26"/>
      <c r="N25" s="19"/>
      <c r="O25" s="19"/>
      <c r="P25" s="19"/>
      <c r="Q25" s="20"/>
      <c r="R25" s="20"/>
      <c r="S25" s="2"/>
    </row>
    <row r="26" spans="1:20" s="9" customFormat="1" ht="28.9" hidden="1" thickBot="1" x14ac:dyDescent="0.5">
      <c r="A26" s="43" t="s">
        <v>10</v>
      </c>
      <c r="B26" s="59"/>
      <c r="C26" s="45" t="s">
        <v>42</v>
      </c>
      <c r="D26" s="43" t="s">
        <v>43</v>
      </c>
      <c r="E26" s="43" t="s">
        <v>90</v>
      </c>
      <c r="F26" s="19">
        <v>1</v>
      </c>
      <c r="G26" s="19">
        <v>2</v>
      </c>
      <c r="H26" s="19">
        <f t="shared" ref="H26:H33" si="6">F26*G26</f>
        <v>2</v>
      </c>
      <c r="I26" s="22"/>
      <c r="J26" s="22"/>
      <c r="K26" s="22"/>
      <c r="L26" s="22"/>
      <c r="M26" s="27"/>
      <c r="N26" s="19">
        <v>1</v>
      </c>
      <c r="O26" s="19">
        <v>2</v>
      </c>
      <c r="P26" s="19">
        <f t="shared" si="4"/>
        <v>2</v>
      </c>
      <c r="Q26" s="43" t="s">
        <v>94</v>
      </c>
      <c r="R26" s="152"/>
      <c r="S26" s="53" t="s">
        <v>151</v>
      </c>
    </row>
    <row r="27" spans="1:20" ht="28.9" hidden="1" thickBot="1" x14ac:dyDescent="0.5">
      <c r="A27" s="44" t="s">
        <v>10</v>
      </c>
      <c r="B27" s="60"/>
      <c r="C27" s="46" t="s">
        <v>44</v>
      </c>
      <c r="D27" s="44" t="s">
        <v>86</v>
      </c>
      <c r="E27" s="44" t="s">
        <v>91</v>
      </c>
      <c r="F27" s="19">
        <v>2</v>
      </c>
      <c r="G27" s="19">
        <v>3</v>
      </c>
      <c r="H27" s="19">
        <f t="shared" si="6"/>
        <v>6</v>
      </c>
      <c r="I27" s="20" t="s">
        <v>158</v>
      </c>
      <c r="J27" s="20"/>
      <c r="K27" s="20" t="s">
        <v>159</v>
      </c>
      <c r="L27" s="20"/>
      <c r="M27" s="28"/>
      <c r="N27" s="19">
        <v>1</v>
      </c>
      <c r="O27" s="19">
        <v>2</v>
      </c>
      <c r="P27" s="19">
        <f t="shared" si="4"/>
        <v>2</v>
      </c>
      <c r="Q27" s="44" t="s">
        <v>45</v>
      </c>
      <c r="R27" s="152"/>
      <c r="S27" s="54" t="s">
        <v>144</v>
      </c>
    </row>
    <row r="28" spans="1:20" ht="40.5" customHeight="1" thickBot="1" x14ac:dyDescent="0.5">
      <c r="A28" s="128" t="s">
        <v>10</v>
      </c>
      <c r="B28" s="140" t="s">
        <v>187</v>
      </c>
      <c r="C28" s="141" t="s">
        <v>4</v>
      </c>
      <c r="D28" s="128" t="s">
        <v>87</v>
      </c>
      <c r="E28" s="128" t="s">
        <v>207</v>
      </c>
      <c r="F28" s="19">
        <v>2</v>
      </c>
      <c r="G28" s="19">
        <v>2</v>
      </c>
      <c r="H28" s="19">
        <f t="shared" si="6"/>
        <v>4</v>
      </c>
      <c r="I28" s="22" t="s">
        <v>152</v>
      </c>
      <c r="J28" s="21" t="s">
        <v>197</v>
      </c>
      <c r="K28" s="21" t="s">
        <v>153</v>
      </c>
      <c r="L28" s="21"/>
      <c r="M28" s="136"/>
      <c r="N28" s="19">
        <v>1</v>
      </c>
      <c r="O28" s="19">
        <v>3</v>
      </c>
      <c r="P28" s="19">
        <f t="shared" si="4"/>
        <v>3</v>
      </c>
      <c r="Q28" s="44" t="s">
        <v>95</v>
      </c>
      <c r="R28" s="138" t="s">
        <v>373</v>
      </c>
      <c r="S28" s="138" t="s">
        <v>392</v>
      </c>
      <c r="T28" s="2" t="s">
        <v>423</v>
      </c>
    </row>
    <row r="29" spans="1:20" ht="43.15" hidden="1" thickBot="1" x14ac:dyDescent="0.5">
      <c r="A29" s="44" t="s">
        <v>10</v>
      </c>
      <c r="B29" s="60"/>
      <c r="C29" s="46" t="s">
        <v>11</v>
      </c>
      <c r="D29" s="44" t="s">
        <v>46</v>
      </c>
      <c r="E29" s="44" t="s">
        <v>47</v>
      </c>
      <c r="F29" s="19">
        <v>1</v>
      </c>
      <c r="G29" s="19">
        <v>3</v>
      </c>
      <c r="H29" s="19">
        <f t="shared" si="6"/>
        <v>3</v>
      </c>
      <c r="I29" s="22"/>
      <c r="J29" s="22"/>
      <c r="K29" s="22"/>
      <c r="L29" s="22"/>
      <c r="M29" s="27"/>
      <c r="N29" s="19">
        <v>1</v>
      </c>
      <c r="O29" s="19">
        <v>3</v>
      </c>
      <c r="P29" s="19">
        <f t="shared" si="4"/>
        <v>3</v>
      </c>
      <c r="Q29" s="44" t="s">
        <v>96</v>
      </c>
      <c r="R29" s="152"/>
      <c r="S29" s="54" t="s">
        <v>148</v>
      </c>
    </row>
    <row r="30" spans="1:20" ht="28.9" hidden="1" thickBot="1" x14ac:dyDescent="0.5">
      <c r="A30" s="44" t="s">
        <v>10</v>
      </c>
      <c r="B30" s="60"/>
      <c r="C30" s="46" t="s">
        <v>76</v>
      </c>
      <c r="D30" s="44" t="s">
        <v>48</v>
      </c>
      <c r="E30" s="44" t="s">
        <v>47</v>
      </c>
      <c r="F30" s="19">
        <v>2</v>
      </c>
      <c r="G30" s="19">
        <v>2</v>
      </c>
      <c r="H30" s="19">
        <f t="shared" si="6"/>
        <v>4</v>
      </c>
      <c r="I30" s="22" t="s">
        <v>154</v>
      </c>
      <c r="J30" s="22" t="s">
        <v>155</v>
      </c>
      <c r="K30" s="22" t="s">
        <v>153</v>
      </c>
      <c r="L30" s="22"/>
      <c r="M30" s="27"/>
      <c r="N30" s="19">
        <v>1</v>
      </c>
      <c r="O30" s="19">
        <v>3</v>
      </c>
      <c r="P30" s="19">
        <f t="shared" si="4"/>
        <v>3</v>
      </c>
      <c r="Q30" s="44" t="s">
        <v>97</v>
      </c>
      <c r="R30" s="152"/>
      <c r="S30" s="54" t="s">
        <v>151</v>
      </c>
    </row>
    <row r="31" spans="1:20" ht="43.15" hidden="1" thickBot="1" x14ac:dyDescent="0.5">
      <c r="A31" s="44" t="s">
        <v>10</v>
      </c>
      <c r="B31" s="60" t="s">
        <v>184</v>
      </c>
      <c r="C31" s="46" t="s">
        <v>77</v>
      </c>
      <c r="D31" s="44" t="s">
        <v>88</v>
      </c>
      <c r="E31" s="44" t="s">
        <v>92</v>
      </c>
      <c r="F31" s="19">
        <v>1</v>
      </c>
      <c r="G31" s="19">
        <v>3</v>
      </c>
      <c r="H31" s="19">
        <f t="shared" si="6"/>
        <v>3</v>
      </c>
      <c r="I31" s="22"/>
      <c r="J31" s="22"/>
      <c r="K31" s="22"/>
      <c r="L31" s="22"/>
      <c r="M31" s="27"/>
      <c r="N31" s="19">
        <v>1</v>
      </c>
      <c r="O31" s="19">
        <v>3</v>
      </c>
      <c r="P31" s="19">
        <f t="shared" si="4"/>
        <v>3</v>
      </c>
      <c r="Q31" s="44" t="s">
        <v>98</v>
      </c>
      <c r="R31" s="152"/>
      <c r="S31" s="54" t="s">
        <v>146</v>
      </c>
    </row>
    <row r="32" spans="1:20" ht="5.65" hidden="1" customHeight="1" thickBot="1" x14ac:dyDescent="0.5">
      <c r="A32" s="44" t="s">
        <v>49</v>
      </c>
      <c r="B32" s="60"/>
      <c r="C32" s="46" t="s">
        <v>78</v>
      </c>
      <c r="D32" s="44" t="s">
        <v>89</v>
      </c>
      <c r="E32" s="44" t="s">
        <v>93</v>
      </c>
      <c r="F32" s="19">
        <v>1</v>
      </c>
      <c r="G32" s="19">
        <v>2</v>
      </c>
      <c r="H32" s="19">
        <f t="shared" si="6"/>
        <v>2</v>
      </c>
      <c r="I32" s="22"/>
      <c r="J32" s="22"/>
      <c r="K32" s="22"/>
      <c r="L32" s="22"/>
      <c r="M32" s="27"/>
      <c r="N32" s="19">
        <v>1</v>
      </c>
      <c r="O32" s="19">
        <v>3</v>
      </c>
      <c r="P32" s="19">
        <f t="shared" si="4"/>
        <v>3</v>
      </c>
      <c r="Q32" s="44" t="s">
        <v>99</v>
      </c>
      <c r="R32" s="152"/>
      <c r="S32" s="54" t="s">
        <v>144</v>
      </c>
    </row>
    <row r="33" spans="1:20" ht="67.5" customHeight="1" thickBot="1" x14ac:dyDescent="0.5">
      <c r="A33" s="54" t="s">
        <v>51</v>
      </c>
      <c r="B33" s="168" t="s">
        <v>186</v>
      </c>
      <c r="C33" s="169" t="s">
        <v>416</v>
      </c>
      <c r="D33" s="169" t="s">
        <v>418</v>
      </c>
      <c r="E33" s="169" t="s">
        <v>417</v>
      </c>
      <c r="F33" s="19">
        <v>1</v>
      </c>
      <c r="G33" s="19">
        <v>8</v>
      </c>
      <c r="H33" s="19">
        <f t="shared" si="6"/>
        <v>8</v>
      </c>
      <c r="I33" s="22" t="s">
        <v>420</v>
      </c>
      <c r="J33" s="22" t="s">
        <v>419</v>
      </c>
      <c r="K33" s="22" t="s">
        <v>194</v>
      </c>
      <c r="L33" s="22" t="s">
        <v>402</v>
      </c>
      <c r="M33" s="27"/>
      <c r="N33" s="19">
        <v>1</v>
      </c>
      <c r="O33" s="19">
        <v>3</v>
      </c>
      <c r="P33" s="19">
        <f t="shared" si="4"/>
        <v>3</v>
      </c>
      <c r="Q33" s="167" t="s">
        <v>421</v>
      </c>
      <c r="R33" s="170" t="s">
        <v>422</v>
      </c>
      <c r="S33" s="54"/>
      <c r="T33" s="2" t="s">
        <v>423</v>
      </c>
    </row>
    <row r="34" spans="1:20" ht="42.75" x14ac:dyDescent="0.45">
      <c r="A34" s="54" t="s">
        <v>51</v>
      </c>
      <c r="B34" s="153">
        <v>14</v>
      </c>
      <c r="C34" s="54" t="s">
        <v>398</v>
      </c>
      <c r="D34" s="154" t="s">
        <v>399</v>
      </c>
      <c r="E34" s="154" t="s">
        <v>400</v>
      </c>
      <c r="F34" s="54">
        <v>1</v>
      </c>
      <c r="G34" s="155">
        <v>5</v>
      </c>
      <c r="H34" s="155">
        <v>5</v>
      </c>
      <c r="I34" s="54" t="s">
        <v>401</v>
      </c>
      <c r="J34" s="54" t="s">
        <v>197</v>
      </c>
      <c r="K34" s="54" t="s">
        <v>194</v>
      </c>
      <c r="L34" s="54" t="s">
        <v>402</v>
      </c>
      <c r="M34" s="130" t="s">
        <v>403</v>
      </c>
      <c r="N34" s="54">
        <v>3</v>
      </c>
      <c r="O34" s="54">
        <v>3</v>
      </c>
      <c r="P34" s="54">
        <v>3</v>
      </c>
      <c r="Q34" s="11" t="s">
        <v>404</v>
      </c>
      <c r="R34" s="11" t="s">
        <v>208</v>
      </c>
      <c r="S34" s="138" t="s">
        <v>405</v>
      </c>
      <c r="T34" s="2" t="s">
        <v>423</v>
      </c>
    </row>
    <row r="36" spans="1:20" x14ac:dyDescent="0.45">
      <c r="Q36" s="11" t="s">
        <v>208</v>
      </c>
    </row>
  </sheetData>
  <autoFilter ref="A2:S32" xr:uid="{00000000-0009-0000-0000-000001000000}">
    <filterColumn colId="1">
      <filters>
        <filter val="14"/>
        <filter val="14 / 9"/>
        <filter val="9 / 14"/>
        <filter val="Internkontroll"/>
      </filters>
    </filterColumn>
  </autoFilter>
  <conditionalFormatting sqref="H4:H33">
    <cfRule type="cellIs" dxfId="20" priority="4" operator="greaterThan">
      <formula>5</formula>
    </cfRule>
    <cfRule type="cellIs" dxfId="19" priority="5" operator="lessThan">
      <formula>4</formula>
    </cfRule>
    <cfRule type="cellIs" dxfId="18" priority="6" operator="between">
      <formula>4</formula>
      <formula>5</formula>
    </cfRule>
  </conditionalFormatting>
  <conditionalFormatting sqref="P4:P33">
    <cfRule type="cellIs" dxfId="17" priority="1" operator="greaterThan">
      <formula>5</formula>
    </cfRule>
    <cfRule type="cellIs" dxfId="16" priority="2" operator="lessThan">
      <formula>4</formula>
    </cfRule>
    <cfRule type="cellIs" dxfId="15" priority="3" operator="between">
      <formula>4</formula>
      <formula>5</formula>
    </cfRule>
  </conditionalFormatting>
  <dataValidations count="2">
    <dataValidation type="list" allowBlank="1" showInputMessage="1" showErrorMessage="1" sqref="M3:M8 M11:M15 M18:M38" xr:uid="{00000000-0002-0000-0100-000000000000}">
      <formula1>#REF!</formula1>
    </dataValidation>
    <dataValidation type="list" allowBlank="1" showInputMessage="1" showErrorMessage="1" sqref="M9:M10" xr:uid="{00000000-0002-0000-0100-000001000000}">
      <formula1>#REF!</formula1>
    </dataValidation>
  </dataValidations>
  <pageMargins left="0.25" right="0.25" top="0.75" bottom="0.75" header="0.3" footer="0.3"/>
  <pageSetup paperSize="9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S33"/>
  <sheetViews>
    <sheetView topLeftCell="E1" zoomScale="80" zoomScaleNormal="80" workbookViewId="0">
      <selection activeCell="S8" sqref="S8:S23"/>
    </sheetView>
  </sheetViews>
  <sheetFormatPr baseColWidth="10" defaultColWidth="11.59765625" defaultRowHeight="14.25" x14ac:dyDescent="0.45"/>
  <cols>
    <col min="1" max="2" width="34.59765625" style="42" customWidth="1"/>
    <col min="3" max="3" width="16.73046875" style="42" customWidth="1"/>
    <col min="4" max="4" width="20.73046875" style="42" customWidth="1"/>
    <col min="5" max="7" width="11.59765625" style="42"/>
    <col min="8" max="8" width="15.3984375" style="42" customWidth="1"/>
    <col min="9" max="15" width="11.59765625" style="42"/>
    <col min="16" max="16" width="20.3984375" style="42" customWidth="1"/>
    <col min="17" max="17" width="11.59765625" style="42"/>
    <col min="18" max="18" width="16.265625" style="42" bestFit="1" customWidth="1"/>
    <col min="19" max="19" width="16" style="42" bestFit="1" customWidth="1"/>
    <col min="20" max="16384" width="11.59765625" style="42"/>
  </cols>
  <sheetData>
    <row r="1" spans="1:19" s="9" customFormat="1" ht="50.25" customHeight="1" x14ac:dyDescent="0.45">
      <c r="A1" s="29" t="s">
        <v>29</v>
      </c>
      <c r="B1" s="29"/>
      <c r="D1" s="30"/>
      <c r="L1" s="31"/>
      <c r="P1" s="30"/>
    </row>
    <row r="2" spans="1:19" s="9" customFormat="1" ht="57" x14ac:dyDescent="0.45">
      <c r="A2" s="32" t="s">
        <v>25</v>
      </c>
      <c r="B2" s="32" t="s">
        <v>189</v>
      </c>
      <c r="C2" s="32" t="s">
        <v>248</v>
      </c>
      <c r="D2" s="32" t="s">
        <v>14</v>
      </c>
      <c r="E2" s="32" t="s">
        <v>17</v>
      </c>
      <c r="F2" s="32" t="s">
        <v>16</v>
      </c>
      <c r="G2" s="32" t="s">
        <v>18</v>
      </c>
      <c r="H2" s="33" t="s">
        <v>141</v>
      </c>
      <c r="I2" s="33" t="s">
        <v>5</v>
      </c>
      <c r="J2" s="34" t="s">
        <v>12</v>
      </c>
      <c r="K2" s="34" t="s">
        <v>13</v>
      </c>
      <c r="L2" s="33" t="s">
        <v>15</v>
      </c>
      <c r="M2" s="33" t="s">
        <v>19</v>
      </c>
      <c r="N2" s="33" t="s">
        <v>20</v>
      </c>
      <c r="O2" s="33" t="s">
        <v>21</v>
      </c>
      <c r="P2" s="32" t="s">
        <v>121</v>
      </c>
      <c r="Q2" s="3" t="s">
        <v>147</v>
      </c>
      <c r="R2" s="156" t="s">
        <v>406</v>
      </c>
      <c r="S2" s="156" t="s">
        <v>406</v>
      </c>
    </row>
    <row r="3" spans="1:19" s="9" customFormat="1" ht="21" hidden="1" x14ac:dyDescent="0.45">
      <c r="A3" s="35" t="s">
        <v>23</v>
      </c>
      <c r="B3" s="35"/>
      <c r="C3" s="36"/>
      <c r="D3" s="37"/>
      <c r="E3" s="38"/>
      <c r="F3" s="38"/>
      <c r="G3" s="38"/>
      <c r="H3" s="38"/>
      <c r="I3" s="38"/>
      <c r="J3" s="38"/>
      <c r="K3" s="38"/>
      <c r="L3" s="36"/>
      <c r="M3" s="38"/>
      <c r="N3" s="38"/>
      <c r="O3" s="38"/>
      <c r="P3" s="37"/>
    </row>
    <row r="4" spans="1:19" s="9" customFormat="1" ht="57.4" hidden="1" thickBot="1" x14ac:dyDescent="0.5">
      <c r="A4" s="48" t="s">
        <v>112</v>
      </c>
      <c r="B4" s="65" t="s">
        <v>184</v>
      </c>
      <c r="C4" s="47" t="s">
        <v>234</v>
      </c>
      <c r="D4" s="47" t="s">
        <v>127</v>
      </c>
      <c r="E4" s="38">
        <v>1</v>
      </c>
      <c r="F4" s="38">
        <v>5</v>
      </c>
      <c r="G4" s="38">
        <f>E4*F4</f>
        <v>5</v>
      </c>
      <c r="H4" s="37" t="s">
        <v>160</v>
      </c>
      <c r="I4" s="37" t="s">
        <v>235</v>
      </c>
      <c r="J4" s="37" t="s">
        <v>194</v>
      </c>
      <c r="K4" s="37"/>
      <c r="L4" s="39"/>
      <c r="M4" s="37">
        <v>1</v>
      </c>
      <c r="N4" s="38">
        <v>1</v>
      </c>
      <c r="O4" s="38">
        <f>M4*N4</f>
        <v>1</v>
      </c>
      <c r="P4" s="47" t="s">
        <v>117</v>
      </c>
    </row>
    <row r="5" spans="1:19" s="9" customFormat="1" ht="71.650000000000006" thickBot="1" x14ac:dyDescent="0.5">
      <c r="A5" s="50" t="s">
        <v>113</v>
      </c>
      <c r="B5" s="66" t="s">
        <v>178</v>
      </c>
      <c r="C5" s="49" t="s">
        <v>209</v>
      </c>
      <c r="D5" s="49" t="s">
        <v>210</v>
      </c>
      <c r="E5" s="38">
        <v>1</v>
      </c>
      <c r="F5" s="38">
        <v>3</v>
      </c>
      <c r="G5" s="38">
        <f t="shared" ref="G5:G9" si="0">E5*F5</f>
        <v>3</v>
      </c>
      <c r="H5" s="37" t="s">
        <v>236</v>
      </c>
      <c r="I5" s="37"/>
      <c r="J5" s="37" t="s">
        <v>194</v>
      </c>
      <c r="K5" s="37"/>
      <c r="L5" s="39"/>
      <c r="M5" s="37">
        <v>1</v>
      </c>
      <c r="N5" s="38">
        <v>1</v>
      </c>
      <c r="O5" s="38">
        <f t="shared" ref="O5:O21" si="1">M5*N5</f>
        <v>1</v>
      </c>
      <c r="P5" s="49" t="s">
        <v>118</v>
      </c>
      <c r="R5" s="9" t="s">
        <v>407</v>
      </c>
      <c r="S5" s="9" t="s">
        <v>424</v>
      </c>
    </row>
    <row r="6" spans="1:19" s="9" customFormat="1" ht="71.650000000000006" hidden="1" thickBot="1" x14ac:dyDescent="0.5">
      <c r="A6" s="50" t="s">
        <v>114</v>
      </c>
      <c r="B6" s="66" t="s">
        <v>184</v>
      </c>
      <c r="C6" s="49" t="s">
        <v>122</v>
      </c>
      <c r="D6" s="49" t="s">
        <v>223</v>
      </c>
      <c r="E6" s="38">
        <v>2</v>
      </c>
      <c r="F6" s="38">
        <v>2</v>
      </c>
      <c r="G6" s="38">
        <f t="shared" si="0"/>
        <v>4</v>
      </c>
      <c r="H6" s="37" t="s">
        <v>237</v>
      </c>
      <c r="I6" s="37"/>
      <c r="J6" s="37" t="s">
        <v>238</v>
      </c>
      <c r="K6" s="37"/>
      <c r="L6" s="39"/>
      <c r="M6" s="37">
        <v>1</v>
      </c>
      <c r="N6" s="38">
        <v>3</v>
      </c>
      <c r="O6" s="38">
        <f t="shared" si="1"/>
        <v>3</v>
      </c>
      <c r="P6" s="49" t="s">
        <v>239</v>
      </c>
    </row>
    <row r="7" spans="1:19" s="9" customFormat="1" ht="71.650000000000006" hidden="1" thickBot="1" x14ac:dyDescent="0.5">
      <c r="A7" s="50" t="s">
        <v>140</v>
      </c>
      <c r="B7" s="66" t="s">
        <v>185</v>
      </c>
      <c r="C7" s="49" t="s">
        <v>123</v>
      </c>
      <c r="D7" s="49" t="s">
        <v>224</v>
      </c>
      <c r="E7" s="38">
        <v>1</v>
      </c>
      <c r="F7" s="38">
        <v>1</v>
      </c>
      <c r="G7" s="38">
        <f t="shared" si="0"/>
        <v>1</v>
      </c>
      <c r="H7" s="37" t="s">
        <v>240</v>
      </c>
      <c r="I7" s="37"/>
      <c r="J7" s="37" t="s">
        <v>241</v>
      </c>
      <c r="K7" s="37"/>
      <c r="L7" s="39"/>
      <c r="M7" s="37">
        <v>1</v>
      </c>
      <c r="N7" s="38">
        <v>1</v>
      </c>
      <c r="O7" s="38">
        <f t="shared" si="1"/>
        <v>1</v>
      </c>
      <c r="P7" s="49" t="s">
        <v>211</v>
      </c>
    </row>
    <row r="8" spans="1:19" s="9" customFormat="1" ht="114.4" thickBot="1" x14ac:dyDescent="0.5">
      <c r="A8" s="50" t="s">
        <v>115</v>
      </c>
      <c r="B8" s="66" t="s">
        <v>178</v>
      </c>
      <c r="C8" s="49" t="s">
        <v>124</v>
      </c>
      <c r="D8" s="49" t="s">
        <v>212</v>
      </c>
      <c r="E8" s="38">
        <v>1</v>
      </c>
      <c r="F8" s="38">
        <v>1</v>
      </c>
      <c r="G8" s="38">
        <f t="shared" si="0"/>
        <v>1</v>
      </c>
      <c r="H8" s="37" t="s">
        <v>242</v>
      </c>
      <c r="I8" s="37"/>
      <c r="J8" s="37" t="s">
        <v>241</v>
      </c>
      <c r="K8" s="37"/>
      <c r="L8" s="39"/>
      <c r="M8" s="37">
        <v>1</v>
      </c>
      <c r="N8" s="38">
        <v>1</v>
      </c>
      <c r="O8" s="38">
        <f t="shared" si="1"/>
        <v>1</v>
      </c>
      <c r="P8" s="49" t="s">
        <v>119</v>
      </c>
      <c r="R8" s="9" t="s">
        <v>407</v>
      </c>
      <c r="S8" s="9" t="s">
        <v>424</v>
      </c>
    </row>
    <row r="9" spans="1:19" s="9" customFormat="1" ht="109.5" hidden="1" customHeight="1" thickBot="1" x14ac:dyDescent="0.5">
      <c r="A9" s="50" t="s">
        <v>116</v>
      </c>
      <c r="B9" s="66" t="s">
        <v>184</v>
      </c>
      <c r="C9" s="49" t="s">
        <v>28</v>
      </c>
      <c r="D9" s="49" t="s">
        <v>213</v>
      </c>
      <c r="E9" s="38">
        <v>2</v>
      </c>
      <c r="F9" s="38">
        <v>5</v>
      </c>
      <c r="G9" s="38">
        <f t="shared" si="0"/>
        <v>10</v>
      </c>
      <c r="H9" s="37" t="s">
        <v>244</v>
      </c>
      <c r="I9" s="37"/>
      <c r="J9" s="38" t="s">
        <v>245</v>
      </c>
      <c r="K9" s="38"/>
      <c r="L9" s="39"/>
      <c r="M9" s="38">
        <v>2</v>
      </c>
      <c r="N9" s="38">
        <v>2</v>
      </c>
      <c r="O9" s="38">
        <f t="shared" si="1"/>
        <v>4</v>
      </c>
      <c r="P9" s="49" t="s">
        <v>243</v>
      </c>
    </row>
    <row r="10" spans="1:19" s="9" customFormat="1" ht="114.4" hidden="1" thickBot="1" x14ac:dyDescent="0.5">
      <c r="A10" s="50" t="s">
        <v>116</v>
      </c>
      <c r="B10" s="66" t="s">
        <v>184</v>
      </c>
      <c r="C10" s="49" t="s">
        <v>125</v>
      </c>
      <c r="D10" s="49" t="s">
        <v>214</v>
      </c>
      <c r="E10" s="38">
        <v>1</v>
      </c>
      <c r="F10" s="38">
        <v>2</v>
      </c>
      <c r="G10" s="38">
        <f t="shared" ref="G10:G17" si="2">E10*F10</f>
        <v>2</v>
      </c>
      <c r="H10" s="38"/>
      <c r="I10" s="38"/>
      <c r="J10" s="38" t="s">
        <v>245</v>
      </c>
      <c r="K10" s="38"/>
      <c r="L10" s="36"/>
      <c r="M10" s="38">
        <v>1</v>
      </c>
      <c r="N10" s="38">
        <v>2</v>
      </c>
      <c r="O10" s="38">
        <f t="shared" si="1"/>
        <v>2</v>
      </c>
      <c r="P10" s="49" t="s">
        <v>120</v>
      </c>
    </row>
    <row r="11" spans="1:19" s="9" customFormat="1" ht="100.15" hidden="1" thickBot="1" x14ac:dyDescent="0.5">
      <c r="A11" s="50" t="s">
        <v>217</v>
      </c>
      <c r="B11" s="66" t="s">
        <v>184</v>
      </c>
      <c r="C11" s="49" t="s">
        <v>215</v>
      </c>
      <c r="D11" s="49" t="s">
        <v>216</v>
      </c>
      <c r="E11" s="38">
        <v>2</v>
      </c>
      <c r="F11" s="38">
        <v>2</v>
      </c>
      <c r="G11" s="38">
        <f t="shared" si="2"/>
        <v>4</v>
      </c>
      <c r="H11" s="38"/>
      <c r="I11" s="38"/>
      <c r="J11" s="38" t="s">
        <v>246</v>
      </c>
      <c r="K11" s="38"/>
      <c r="L11" s="36"/>
      <c r="M11" s="38">
        <v>2</v>
      </c>
      <c r="N11" s="38">
        <v>2</v>
      </c>
      <c r="O11" s="38">
        <f t="shared" si="1"/>
        <v>4</v>
      </c>
      <c r="P11" s="49" t="s">
        <v>218</v>
      </c>
    </row>
    <row r="12" spans="1:19" s="9" customFormat="1" ht="96" hidden="1" customHeight="1" x14ac:dyDescent="0.45">
      <c r="A12" s="143" t="s">
        <v>27</v>
      </c>
      <c r="B12" s="144" t="s">
        <v>184</v>
      </c>
      <c r="C12" s="145" t="s">
        <v>28</v>
      </c>
      <c r="D12" s="145" t="s">
        <v>128</v>
      </c>
      <c r="E12" s="146">
        <v>2</v>
      </c>
      <c r="F12" s="146">
        <v>1</v>
      </c>
      <c r="G12" s="146">
        <f t="shared" si="2"/>
        <v>2</v>
      </c>
      <c r="H12" s="146"/>
      <c r="I12" s="146"/>
      <c r="J12" s="146" t="s">
        <v>246</v>
      </c>
      <c r="K12" s="146"/>
      <c r="L12" s="147"/>
      <c r="M12" s="146">
        <v>2</v>
      </c>
      <c r="N12" s="146">
        <v>1</v>
      </c>
      <c r="O12" s="146">
        <f t="shared" si="1"/>
        <v>2</v>
      </c>
      <c r="P12" s="145" t="s">
        <v>126</v>
      </c>
    </row>
    <row r="13" spans="1:19" s="9" customFormat="1" ht="96" customHeight="1" thickBot="1" x14ac:dyDescent="0.5">
      <c r="A13" s="148" t="s">
        <v>381</v>
      </c>
      <c r="B13" s="149" t="s">
        <v>187</v>
      </c>
      <c r="C13" s="150" t="s">
        <v>382</v>
      </c>
      <c r="D13" s="150" t="s">
        <v>383</v>
      </c>
      <c r="E13" s="38">
        <v>1</v>
      </c>
      <c r="F13" s="38">
        <v>5</v>
      </c>
      <c r="G13" s="38">
        <f t="shared" si="2"/>
        <v>5</v>
      </c>
      <c r="H13" s="37" t="s">
        <v>384</v>
      </c>
      <c r="I13" s="38"/>
      <c r="J13" s="38" t="s">
        <v>385</v>
      </c>
      <c r="K13" s="151">
        <v>45017</v>
      </c>
      <c r="L13" s="36"/>
      <c r="M13" s="38">
        <v>1</v>
      </c>
      <c r="N13" s="38">
        <v>3</v>
      </c>
      <c r="O13" s="38">
        <f t="shared" si="1"/>
        <v>3</v>
      </c>
      <c r="P13" s="150" t="s">
        <v>386</v>
      </c>
      <c r="R13" s="9" t="s">
        <v>407</v>
      </c>
      <c r="S13" s="9" t="s">
        <v>424</v>
      </c>
    </row>
    <row r="14" spans="1:19" s="9" customFormat="1" ht="18.399999999999999" hidden="1" thickBot="1" x14ac:dyDescent="0.5">
      <c r="A14" s="40" t="s">
        <v>24</v>
      </c>
      <c r="B14" s="67"/>
      <c r="C14" s="41"/>
      <c r="D14" s="7"/>
      <c r="E14" s="8"/>
      <c r="F14" s="8"/>
      <c r="G14" s="8"/>
      <c r="H14" s="8"/>
      <c r="I14" s="8"/>
      <c r="J14" s="8"/>
      <c r="K14" s="8"/>
      <c r="L14" s="41"/>
      <c r="M14" s="8">
        <v>1</v>
      </c>
      <c r="N14" s="52">
        <v>1</v>
      </c>
      <c r="O14" s="38">
        <f t="shared" si="1"/>
        <v>1</v>
      </c>
      <c r="P14" s="7"/>
    </row>
    <row r="15" spans="1:19" s="9" customFormat="1" ht="71.650000000000006" thickBot="1" x14ac:dyDescent="0.5">
      <c r="A15" s="48" t="s">
        <v>149</v>
      </c>
      <c r="B15" s="65" t="s">
        <v>178</v>
      </c>
      <c r="C15" s="47" t="s">
        <v>26</v>
      </c>
      <c r="D15" s="47" t="s">
        <v>30</v>
      </c>
      <c r="E15" s="7">
        <v>1</v>
      </c>
      <c r="F15" s="7">
        <v>3</v>
      </c>
      <c r="G15" s="8">
        <f t="shared" si="2"/>
        <v>3</v>
      </c>
      <c r="H15" s="7"/>
      <c r="I15" s="7"/>
      <c r="J15" s="8" t="s">
        <v>194</v>
      </c>
      <c r="K15" s="7"/>
      <c r="L15" s="25"/>
      <c r="M15" s="8">
        <v>1</v>
      </c>
      <c r="N15" s="52">
        <v>3</v>
      </c>
      <c r="O15" s="38">
        <f t="shared" si="1"/>
        <v>3</v>
      </c>
      <c r="P15" s="51" t="s">
        <v>133</v>
      </c>
      <c r="R15" s="9" t="s">
        <v>407</v>
      </c>
      <c r="S15" s="9" t="s">
        <v>424</v>
      </c>
    </row>
    <row r="16" spans="1:19" s="9" customFormat="1" ht="100.15" thickBot="1" x14ac:dyDescent="0.5">
      <c r="A16" s="148" t="s">
        <v>379</v>
      </c>
      <c r="B16" s="149" t="s">
        <v>187</v>
      </c>
      <c r="C16" s="150" t="s">
        <v>382</v>
      </c>
      <c r="D16" s="49" t="s">
        <v>387</v>
      </c>
      <c r="E16" s="7">
        <v>1</v>
      </c>
      <c r="F16" s="7">
        <v>5</v>
      </c>
      <c r="G16" s="8">
        <f t="shared" si="2"/>
        <v>5</v>
      </c>
      <c r="H16" s="7" t="s">
        <v>388</v>
      </c>
      <c r="I16" s="7"/>
      <c r="J16" s="8" t="s">
        <v>194</v>
      </c>
      <c r="K16" s="58">
        <v>44957</v>
      </c>
      <c r="L16" s="25"/>
      <c r="M16" s="8">
        <v>1</v>
      </c>
      <c r="N16" s="52">
        <v>2</v>
      </c>
      <c r="O16" s="38">
        <f t="shared" si="1"/>
        <v>2</v>
      </c>
      <c r="P16" s="145" t="s">
        <v>389</v>
      </c>
      <c r="R16" s="9" t="s">
        <v>407</v>
      </c>
      <c r="S16" s="9" t="s">
        <v>424</v>
      </c>
    </row>
    <row r="17" spans="1:19" s="9" customFormat="1" ht="65.25" customHeight="1" thickBot="1" x14ac:dyDescent="0.5">
      <c r="A17" s="148" t="s">
        <v>380</v>
      </c>
      <c r="B17" s="149" t="s">
        <v>187</v>
      </c>
      <c r="C17" s="49" t="s">
        <v>390</v>
      </c>
      <c r="D17" s="49" t="s">
        <v>391</v>
      </c>
      <c r="E17" s="7">
        <v>1</v>
      </c>
      <c r="F17" s="7">
        <v>2</v>
      </c>
      <c r="G17" s="8">
        <f t="shared" si="2"/>
        <v>2</v>
      </c>
      <c r="H17" s="7"/>
      <c r="I17" s="7"/>
      <c r="J17" s="8"/>
      <c r="K17" s="7"/>
      <c r="L17" s="25"/>
      <c r="M17" s="8"/>
      <c r="N17" s="52"/>
      <c r="O17" s="38">
        <f t="shared" si="1"/>
        <v>0</v>
      </c>
      <c r="P17" s="145"/>
      <c r="R17" s="9" t="s">
        <v>407</v>
      </c>
      <c r="S17" s="9" t="s">
        <v>424</v>
      </c>
    </row>
    <row r="18" spans="1:19" s="9" customFormat="1" ht="100.15" hidden="1" thickBot="1" x14ac:dyDescent="0.5">
      <c r="A18" s="50" t="s">
        <v>31</v>
      </c>
      <c r="B18" s="66" t="s">
        <v>184</v>
      </c>
      <c r="C18" s="49" t="s">
        <v>134</v>
      </c>
      <c r="D18" s="49" t="s">
        <v>136</v>
      </c>
      <c r="E18" s="7">
        <v>2</v>
      </c>
      <c r="F18" s="7">
        <v>2</v>
      </c>
      <c r="G18" s="8">
        <f t="shared" ref="G18:G21" si="3">E18*F18</f>
        <v>4</v>
      </c>
      <c r="H18" s="7" t="s">
        <v>174</v>
      </c>
      <c r="I18" s="7" t="s">
        <v>175</v>
      </c>
      <c r="J18" s="8" t="s">
        <v>194</v>
      </c>
      <c r="K18" s="58"/>
      <c r="L18" s="25"/>
      <c r="M18" s="8">
        <v>1</v>
      </c>
      <c r="N18" s="52">
        <v>1</v>
      </c>
      <c r="O18" s="38">
        <f t="shared" si="1"/>
        <v>1</v>
      </c>
      <c r="P18" s="49" t="s">
        <v>219</v>
      </c>
    </row>
    <row r="19" spans="1:19" s="9" customFormat="1" ht="100.15" hidden="1" thickBot="1" x14ac:dyDescent="0.5">
      <c r="A19" s="50" t="s">
        <v>32</v>
      </c>
      <c r="B19" s="66" t="s">
        <v>184</v>
      </c>
      <c r="C19" s="49" t="s">
        <v>220</v>
      </c>
      <c r="D19" s="49" t="s">
        <v>137</v>
      </c>
      <c r="E19" s="7">
        <v>1</v>
      </c>
      <c r="F19" s="7">
        <v>1</v>
      </c>
      <c r="G19" s="8">
        <f t="shared" si="3"/>
        <v>1</v>
      </c>
      <c r="H19" s="7"/>
      <c r="I19" s="7"/>
      <c r="J19" s="8" t="s">
        <v>194</v>
      </c>
      <c r="K19" s="7"/>
      <c r="L19" s="25"/>
      <c r="M19" s="8">
        <v>1</v>
      </c>
      <c r="N19" s="52">
        <v>1</v>
      </c>
      <c r="O19" s="38">
        <f t="shared" si="1"/>
        <v>1</v>
      </c>
      <c r="P19" s="49" t="s">
        <v>130</v>
      </c>
    </row>
    <row r="20" spans="1:19" s="9" customFormat="1" ht="57.4" hidden="1" thickBot="1" x14ac:dyDescent="0.5">
      <c r="A20" s="50" t="s">
        <v>129</v>
      </c>
      <c r="B20" s="66" t="s">
        <v>184</v>
      </c>
      <c r="C20" s="49" t="s">
        <v>135</v>
      </c>
      <c r="D20" s="49" t="s">
        <v>138</v>
      </c>
      <c r="E20" s="7">
        <v>1</v>
      </c>
      <c r="F20" s="7">
        <v>1</v>
      </c>
      <c r="G20" s="8">
        <f t="shared" si="3"/>
        <v>1</v>
      </c>
      <c r="H20" s="7"/>
      <c r="I20" s="7"/>
      <c r="J20" s="8" t="s">
        <v>194</v>
      </c>
      <c r="K20" s="7"/>
      <c r="L20" s="25"/>
      <c r="M20" s="8">
        <v>1</v>
      </c>
      <c r="N20" s="52">
        <v>1</v>
      </c>
      <c r="O20" s="38">
        <f t="shared" si="1"/>
        <v>1</v>
      </c>
      <c r="P20" s="49" t="s">
        <v>131</v>
      </c>
    </row>
    <row r="21" spans="1:19" s="9" customFormat="1" ht="100.15" thickBot="1" x14ac:dyDescent="0.5">
      <c r="A21" s="50" t="s">
        <v>139</v>
      </c>
      <c r="B21" s="66" t="s">
        <v>188</v>
      </c>
      <c r="C21" s="49" t="s">
        <v>222</v>
      </c>
      <c r="D21" s="49" t="s">
        <v>221</v>
      </c>
      <c r="E21" s="7">
        <v>1</v>
      </c>
      <c r="F21" s="7">
        <v>2</v>
      </c>
      <c r="G21" s="8">
        <f t="shared" si="3"/>
        <v>2</v>
      </c>
      <c r="H21" s="7" t="s">
        <v>176</v>
      </c>
      <c r="I21" s="7" t="s">
        <v>371</v>
      </c>
      <c r="J21" s="8" t="s">
        <v>194</v>
      </c>
      <c r="K21" s="7"/>
      <c r="L21" s="25"/>
      <c r="M21" s="8">
        <v>1</v>
      </c>
      <c r="N21" s="52">
        <v>1</v>
      </c>
      <c r="O21" s="38">
        <f t="shared" si="1"/>
        <v>1</v>
      </c>
      <c r="P21" s="49" t="s">
        <v>132</v>
      </c>
      <c r="R21" s="9" t="s">
        <v>407</v>
      </c>
      <c r="S21" s="9" t="s">
        <v>424</v>
      </c>
    </row>
    <row r="22" spans="1:19" s="9" customFormat="1" ht="85.9" thickBot="1" x14ac:dyDescent="0.5">
      <c r="A22" s="50" t="s">
        <v>247</v>
      </c>
      <c r="B22" s="66" t="s">
        <v>178</v>
      </c>
      <c r="C22" s="49" t="s">
        <v>249</v>
      </c>
      <c r="D22" s="49" t="s">
        <v>250</v>
      </c>
      <c r="E22" s="7">
        <v>3</v>
      </c>
      <c r="F22" s="7">
        <v>10</v>
      </c>
      <c r="G22" s="8">
        <f t="shared" ref="G22:G23" si="4">E22*F22</f>
        <v>30</v>
      </c>
      <c r="H22" s="7" t="s">
        <v>251</v>
      </c>
      <c r="I22" s="7"/>
      <c r="J22" s="8" t="s">
        <v>194</v>
      </c>
      <c r="K22" s="7"/>
      <c r="L22" s="25"/>
      <c r="M22" s="8">
        <v>2</v>
      </c>
      <c r="N22" s="52">
        <v>2</v>
      </c>
      <c r="O22" s="38">
        <f t="shared" ref="O22" si="5">M22*N22</f>
        <v>4</v>
      </c>
      <c r="P22" s="49" t="s">
        <v>252</v>
      </c>
      <c r="R22" s="9" t="s">
        <v>407</v>
      </c>
      <c r="S22" s="9" t="s">
        <v>424</v>
      </c>
    </row>
    <row r="23" spans="1:19" s="9" customFormat="1" ht="85.5" x14ac:dyDescent="0.45">
      <c r="A23" s="157" t="s">
        <v>408</v>
      </c>
      <c r="B23" s="158" t="s">
        <v>187</v>
      </c>
      <c r="C23" s="159" t="s">
        <v>409</v>
      </c>
      <c r="D23" s="159" t="s">
        <v>410</v>
      </c>
      <c r="E23" s="7">
        <v>1</v>
      </c>
      <c r="F23" s="7">
        <v>5</v>
      </c>
      <c r="G23" s="8">
        <f t="shared" si="4"/>
        <v>5</v>
      </c>
      <c r="H23" s="7" t="s">
        <v>411</v>
      </c>
      <c r="I23" s="7"/>
      <c r="J23" s="8"/>
      <c r="K23" s="7"/>
      <c r="L23" s="25"/>
      <c r="M23" s="8"/>
      <c r="N23" s="52"/>
      <c r="O23" s="38"/>
      <c r="P23" s="159"/>
      <c r="R23" s="9" t="s">
        <v>407</v>
      </c>
      <c r="S23" s="9" t="s">
        <v>424</v>
      </c>
    </row>
    <row r="24" spans="1:19" s="9" customFormat="1" x14ac:dyDescent="0.45">
      <c r="D24" s="30"/>
      <c r="L24" s="31"/>
      <c r="P24" s="30"/>
    </row>
    <row r="25" spans="1:19" s="9" customFormat="1" x14ac:dyDescent="0.45">
      <c r="D25" s="30"/>
      <c r="L25" s="31"/>
      <c r="P25" s="30"/>
    </row>
    <row r="26" spans="1:19" s="9" customFormat="1" x14ac:dyDescent="0.45">
      <c r="D26" s="30"/>
      <c r="L26" s="31"/>
      <c r="P26" s="30"/>
    </row>
    <row r="27" spans="1:19" s="9" customFormat="1" x14ac:dyDescent="0.45">
      <c r="D27" s="30"/>
      <c r="L27" s="31"/>
      <c r="P27" s="30"/>
    </row>
    <row r="28" spans="1:19" s="9" customFormat="1" x14ac:dyDescent="0.45">
      <c r="D28" s="30"/>
      <c r="L28" s="31"/>
      <c r="P28" s="30"/>
    </row>
    <row r="29" spans="1:19" s="9" customFormat="1" x14ac:dyDescent="0.45">
      <c r="D29" s="30"/>
      <c r="L29" s="31"/>
      <c r="P29" s="30"/>
    </row>
    <row r="30" spans="1:19" s="9" customFormat="1" x14ac:dyDescent="0.45">
      <c r="D30" s="30"/>
      <c r="L30" s="31"/>
      <c r="P30" s="30"/>
    </row>
    <row r="31" spans="1:19" s="9" customFormat="1" x14ac:dyDescent="0.45">
      <c r="D31" s="30"/>
      <c r="L31" s="31"/>
      <c r="P31" s="30"/>
    </row>
    <row r="32" spans="1:19" s="9" customFormat="1" x14ac:dyDescent="0.45">
      <c r="D32" s="30"/>
      <c r="L32" s="31"/>
      <c r="P32" s="30"/>
    </row>
    <row r="33" spans="4:16" s="9" customFormat="1" x14ac:dyDescent="0.45">
      <c r="D33" s="30"/>
      <c r="L33" s="31"/>
      <c r="P33" s="30"/>
    </row>
  </sheetData>
  <autoFilter ref="A1:Q22" xr:uid="{00000000-0009-0000-0000-000000000000}">
    <filterColumn colId="1">
      <filters>
        <filter val="14"/>
        <filter val="9 / 14"/>
        <filter val="9 / 14 / 45"/>
        <filter val="Systemtilknytning (9001 / 14001)"/>
      </filters>
    </filterColumn>
  </autoFilter>
  <phoneticPr fontId="5" type="noConversion"/>
  <conditionalFormatting sqref="G4:G23 O4:O23">
    <cfRule type="cellIs" dxfId="14" priority="34" operator="greaterThan">
      <formula>5</formula>
    </cfRule>
    <cfRule type="cellIs" dxfId="13" priority="35" operator="lessThan">
      <formula>4</formula>
    </cfRule>
    <cfRule type="cellIs" dxfId="12" priority="36" operator="between">
      <formula>4</formula>
      <formula>5</formula>
    </cfRule>
  </conditionalFormatting>
  <dataValidations count="1">
    <dataValidation type="list" allowBlank="1" showInputMessage="1" showErrorMessage="1" sqref="L3:L28" xr:uid="{00000000-0002-0000-0000-000000000000}">
      <formula1>#REF!</formula1>
    </dataValidation>
  </dataValidations>
  <pageMargins left="0.25" right="0.25" top="0.75" bottom="0.75" header="0.3" footer="0.3"/>
  <pageSetup paperSize="9" scale="4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370A-B270-49A0-8C38-10A111E2A8C0}">
  <sheetPr>
    <tabColor rgb="FFFFC000"/>
  </sheetPr>
  <dimension ref="A1:Q35"/>
  <sheetViews>
    <sheetView tabSelected="1" topLeftCell="F1" zoomScale="50" zoomScaleNormal="50" workbookViewId="0">
      <selection activeCell="P6" sqref="P6:Q6"/>
    </sheetView>
  </sheetViews>
  <sheetFormatPr baseColWidth="10" defaultColWidth="11.59765625" defaultRowHeight="14.25" x14ac:dyDescent="0.45"/>
  <cols>
    <col min="1" max="1" width="8.73046875" customWidth="1"/>
    <col min="2" max="2" width="69.265625" style="119" customWidth="1"/>
    <col min="3" max="3" width="34.265625" style="120" customWidth="1"/>
    <col min="4" max="4" width="29.265625" customWidth="1"/>
    <col min="5" max="5" width="41.73046875" style="121" customWidth="1"/>
    <col min="6" max="6" width="23.73046875" customWidth="1"/>
    <col min="7" max="7" width="25.1328125" customWidth="1"/>
    <col min="8" max="8" width="25.59765625" customWidth="1"/>
    <col min="9" max="9" width="39.265625" customWidth="1"/>
    <col min="10" max="10" width="43.1328125" customWidth="1"/>
    <col min="11" max="11" width="16.59765625" customWidth="1"/>
    <col min="12" max="12" width="16.73046875" customWidth="1"/>
    <col min="13" max="13" width="25.59765625" customWidth="1"/>
    <col min="15" max="15" width="74.73046875" customWidth="1"/>
    <col min="16" max="16" width="24.6640625" customWidth="1"/>
  </cols>
  <sheetData>
    <row r="1" spans="1:17" ht="36" x14ac:dyDescent="1.05">
      <c r="A1" s="69"/>
      <c r="B1" s="162" t="s">
        <v>253</v>
      </c>
      <c r="C1" s="162"/>
      <c r="D1" s="162"/>
      <c r="E1" s="162"/>
      <c r="F1" s="162"/>
      <c r="G1" s="70"/>
      <c r="H1" s="70"/>
      <c r="I1" s="70"/>
      <c r="J1" s="70"/>
      <c r="K1" s="70"/>
      <c r="L1" s="70"/>
      <c r="M1" s="70"/>
    </row>
    <row r="2" spans="1:17" ht="216" customHeight="1" x14ac:dyDescent="1">
      <c r="A2" s="71" t="s">
        <v>254</v>
      </c>
      <c r="B2" s="72" t="s">
        <v>255</v>
      </c>
      <c r="C2" s="73" t="s">
        <v>256</v>
      </c>
      <c r="D2" s="73" t="s">
        <v>257</v>
      </c>
      <c r="E2" s="73" t="s">
        <v>258</v>
      </c>
      <c r="F2" s="74" t="s">
        <v>259</v>
      </c>
      <c r="G2" s="74" t="s">
        <v>260</v>
      </c>
      <c r="H2" s="75" t="s">
        <v>261</v>
      </c>
      <c r="I2" s="73" t="s">
        <v>262</v>
      </c>
      <c r="J2" s="71" t="s">
        <v>263</v>
      </c>
      <c r="K2" s="73" t="s">
        <v>264</v>
      </c>
      <c r="L2" s="73" t="s">
        <v>265</v>
      </c>
      <c r="M2" s="76" t="s">
        <v>266</v>
      </c>
      <c r="N2" s="163" t="s">
        <v>406</v>
      </c>
      <c r="O2" s="164"/>
      <c r="P2" s="163" t="s">
        <v>406</v>
      </c>
      <c r="Q2" s="164"/>
    </row>
    <row r="3" spans="1:17" ht="80.25" customHeight="1" x14ac:dyDescent="0.45">
      <c r="A3" s="77">
        <v>1</v>
      </c>
      <c r="B3" s="78" t="s">
        <v>267</v>
      </c>
      <c r="C3" s="79" t="s">
        <v>268</v>
      </c>
      <c r="D3" s="80" t="s">
        <v>269</v>
      </c>
      <c r="E3" s="81" t="s">
        <v>270</v>
      </c>
      <c r="F3" s="82">
        <v>3</v>
      </c>
      <c r="G3" s="82">
        <v>4</v>
      </c>
      <c r="H3" s="83">
        <f>F3*G3</f>
        <v>12</v>
      </c>
      <c r="I3" s="84" t="s">
        <v>271</v>
      </c>
      <c r="J3" s="85" t="s">
        <v>272</v>
      </c>
      <c r="K3" s="82">
        <v>1</v>
      </c>
      <c r="L3" s="82">
        <v>4</v>
      </c>
      <c r="M3" s="83">
        <f>K3*L3</f>
        <v>4</v>
      </c>
      <c r="N3" s="160" t="s">
        <v>412</v>
      </c>
      <c r="O3" s="161"/>
      <c r="P3" t="s">
        <v>424</v>
      </c>
    </row>
    <row r="4" spans="1:17" ht="90" x14ac:dyDescent="0.45">
      <c r="A4" s="77">
        <v>2</v>
      </c>
      <c r="B4" s="78" t="s">
        <v>273</v>
      </c>
      <c r="C4" s="79" t="s">
        <v>274</v>
      </c>
      <c r="D4" s="86" t="s">
        <v>275</v>
      </c>
      <c r="E4" s="87" t="s">
        <v>276</v>
      </c>
      <c r="F4" s="82">
        <v>4</v>
      </c>
      <c r="G4" s="82">
        <v>4</v>
      </c>
      <c r="H4" s="83">
        <f t="shared" ref="H4:H8" si="0">F4*G4</f>
        <v>16</v>
      </c>
      <c r="I4" s="84" t="s">
        <v>277</v>
      </c>
      <c r="J4" s="85" t="s">
        <v>278</v>
      </c>
      <c r="K4" s="82">
        <v>1</v>
      </c>
      <c r="L4" s="82">
        <v>4</v>
      </c>
      <c r="M4" s="83">
        <f t="shared" ref="M4:M8" si="1">K4*L4</f>
        <v>4</v>
      </c>
      <c r="N4" s="160" t="s">
        <v>412</v>
      </c>
      <c r="O4" s="161"/>
      <c r="P4" t="s">
        <v>424</v>
      </c>
    </row>
    <row r="5" spans="1:17" ht="69.400000000000006" x14ac:dyDescent="0.45">
      <c r="A5" s="77">
        <v>3</v>
      </c>
      <c r="B5" s="78" t="s">
        <v>279</v>
      </c>
      <c r="C5" s="79" t="s">
        <v>280</v>
      </c>
      <c r="D5" s="86" t="s">
        <v>281</v>
      </c>
      <c r="E5" s="87" t="s">
        <v>282</v>
      </c>
      <c r="F5" s="82">
        <v>1</v>
      </c>
      <c r="G5" s="82">
        <v>2</v>
      </c>
      <c r="H5" s="83">
        <f t="shared" si="0"/>
        <v>2</v>
      </c>
      <c r="I5" s="88" t="s">
        <v>282</v>
      </c>
      <c r="J5" s="85" t="s">
        <v>283</v>
      </c>
      <c r="K5" s="82">
        <v>1</v>
      </c>
      <c r="L5" s="82">
        <v>2</v>
      </c>
      <c r="M5" s="83">
        <f t="shared" si="1"/>
        <v>2</v>
      </c>
      <c r="N5" s="160" t="s">
        <v>412</v>
      </c>
      <c r="O5" s="161"/>
      <c r="P5" t="s">
        <v>424</v>
      </c>
    </row>
    <row r="6" spans="1:17" ht="51.75" x14ac:dyDescent="0.45">
      <c r="A6" s="77">
        <v>4</v>
      </c>
      <c r="B6" s="78" t="s">
        <v>284</v>
      </c>
      <c r="C6" s="79" t="s">
        <v>285</v>
      </c>
      <c r="D6" s="86" t="s">
        <v>286</v>
      </c>
      <c r="E6" s="87" t="s">
        <v>287</v>
      </c>
      <c r="F6" s="82">
        <v>1</v>
      </c>
      <c r="G6" s="82">
        <v>5</v>
      </c>
      <c r="H6" s="83">
        <f t="shared" si="0"/>
        <v>5</v>
      </c>
      <c r="I6" s="89" t="s">
        <v>288</v>
      </c>
      <c r="J6" s="85" t="s">
        <v>289</v>
      </c>
      <c r="K6" s="82">
        <v>1</v>
      </c>
      <c r="L6" s="82">
        <v>4</v>
      </c>
      <c r="M6" s="83">
        <f t="shared" si="1"/>
        <v>4</v>
      </c>
      <c r="N6" s="165" t="s">
        <v>413</v>
      </c>
      <c r="O6" s="166"/>
      <c r="P6" s="165" t="s">
        <v>413</v>
      </c>
      <c r="Q6" s="166"/>
    </row>
    <row r="7" spans="1:17" ht="80.25" customHeight="1" x14ac:dyDescent="0.45">
      <c r="A7" s="77">
        <v>5</v>
      </c>
      <c r="B7" s="78" t="s">
        <v>290</v>
      </c>
      <c r="C7" s="79" t="s">
        <v>291</v>
      </c>
      <c r="D7" s="86" t="s">
        <v>292</v>
      </c>
      <c r="E7" s="90" t="s">
        <v>293</v>
      </c>
      <c r="F7" s="82">
        <v>1</v>
      </c>
      <c r="G7" s="82">
        <v>2</v>
      </c>
      <c r="H7" s="83">
        <f t="shared" si="0"/>
        <v>2</v>
      </c>
      <c r="I7" s="89" t="s">
        <v>294</v>
      </c>
      <c r="J7" s="85" t="s">
        <v>295</v>
      </c>
      <c r="K7" s="82">
        <v>1</v>
      </c>
      <c r="L7" s="82">
        <v>2</v>
      </c>
      <c r="M7" s="83">
        <f t="shared" si="1"/>
        <v>2</v>
      </c>
      <c r="N7" s="160" t="s">
        <v>412</v>
      </c>
      <c r="O7" s="161"/>
      <c r="P7" t="s">
        <v>424</v>
      </c>
    </row>
    <row r="8" spans="1:17" ht="119.25" customHeight="1" x14ac:dyDescent="0.45">
      <c r="A8" s="77">
        <v>6</v>
      </c>
      <c r="B8" s="78" t="s">
        <v>296</v>
      </c>
      <c r="C8" s="79" t="s">
        <v>297</v>
      </c>
      <c r="D8" s="86" t="s">
        <v>298</v>
      </c>
      <c r="E8" s="81" t="s">
        <v>299</v>
      </c>
      <c r="F8" s="82">
        <v>2</v>
      </c>
      <c r="G8" s="82">
        <v>5</v>
      </c>
      <c r="H8" s="83">
        <f t="shared" si="0"/>
        <v>10</v>
      </c>
      <c r="I8" s="89" t="s">
        <v>300</v>
      </c>
      <c r="J8" s="85" t="s">
        <v>301</v>
      </c>
      <c r="K8" s="82">
        <v>1</v>
      </c>
      <c r="L8" s="82">
        <v>4</v>
      </c>
      <c r="M8" s="83">
        <f t="shared" si="1"/>
        <v>4</v>
      </c>
      <c r="N8" s="160" t="s">
        <v>412</v>
      </c>
      <c r="O8" s="161"/>
      <c r="P8" t="s">
        <v>424</v>
      </c>
    </row>
    <row r="9" spans="1:17" ht="25.15" x14ac:dyDescent="0.45">
      <c r="A9" s="91"/>
      <c r="B9" s="92"/>
      <c r="C9" s="93"/>
      <c r="D9" s="94"/>
      <c r="E9" s="95"/>
      <c r="F9" s="95"/>
      <c r="G9" s="95"/>
      <c r="H9" s="96"/>
      <c r="I9" s="95"/>
      <c r="J9" s="95"/>
      <c r="K9" s="95"/>
      <c r="L9" s="95"/>
      <c r="M9" s="96"/>
    </row>
    <row r="10" spans="1:17" ht="26.25" hidden="1" customHeight="1" x14ac:dyDescent="0.45">
      <c r="A10" s="77"/>
      <c r="B10" s="97" t="s">
        <v>302</v>
      </c>
      <c r="C10" s="98"/>
      <c r="D10" s="99"/>
      <c r="E10" s="100" t="s">
        <v>303</v>
      </c>
      <c r="F10" s="82">
        <v>1</v>
      </c>
      <c r="G10" s="82">
        <v>0</v>
      </c>
      <c r="H10" s="83">
        <f t="shared" ref="H10:H23" si="2">F10*G10</f>
        <v>0</v>
      </c>
      <c r="I10" s="101"/>
      <c r="J10" s="101"/>
      <c r="K10" s="82">
        <v>1</v>
      </c>
      <c r="L10" s="82">
        <v>0</v>
      </c>
      <c r="M10" s="83">
        <f t="shared" ref="M10:M23" si="3">K10*L10</f>
        <v>0</v>
      </c>
    </row>
    <row r="11" spans="1:17" ht="26.25" hidden="1" customHeight="1" x14ac:dyDescent="0.45">
      <c r="A11" s="77">
        <v>7</v>
      </c>
      <c r="B11" s="102" t="s">
        <v>304</v>
      </c>
      <c r="C11" s="98"/>
      <c r="D11" s="99"/>
      <c r="E11" s="103"/>
      <c r="F11" s="82">
        <v>1</v>
      </c>
      <c r="G11" s="82">
        <v>0</v>
      </c>
      <c r="H11" s="83">
        <f t="shared" si="2"/>
        <v>0</v>
      </c>
      <c r="I11" s="101"/>
      <c r="J11" s="101"/>
      <c r="K11" s="82">
        <v>1</v>
      </c>
      <c r="L11" s="82">
        <v>0</v>
      </c>
      <c r="M11" s="83">
        <f t="shared" si="3"/>
        <v>0</v>
      </c>
    </row>
    <row r="12" spans="1:17" ht="118.5" customHeight="1" x14ac:dyDescent="0.45">
      <c r="A12" s="77">
        <v>8</v>
      </c>
      <c r="B12" s="97" t="s">
        <v>305</v>
      </c>
      <c r="C12" s="79" t="s">
        <v>306</v>
      </c>
      <c r="D12" s="86" t="s">
        <v>307</v>
      </c>
      <c r="E12" s="104" t="s">
        <v>308</v>
      </c>
      <c r="F12" s="82">
        <v>1</v>
      </c>
      <c r="G12" s="82">
        <v>4</v>
      </c>
      <c r="H12" s="83">
        <f t="shared" si="2"/>
        <v>4</v>
      </c>
      <c r="I12" s="89" t="s">
        <v>309</v>
      </c>
      <c r="J12" s="85" t="s">
        <v>310</v>
      </c>
      <c r="K12" s="82">
        <v>1</v>
      </c>
      <c r="L12" s="82">
        <v>3</v>
      </c>
      <c r="M12" s="83">
        <f t="shared" si="3"/>
        <v>3</v>
      </c>
      <c r="N12" s="160" t="s">
        <v>412</v>
      </c>
      <c r="O12" s="161"/>
      <c r="P12" t="s">
        <v>424</v>
      </c>
    </row>
    <row r="13" spans="1:17" ht="26.25" hidden="1" customHeight="1" x14ac:dyDescent="0.45">
      <c r="A13" s="77">
        <v>9</v>
      </c>
      <c r="B13" s="102" t="s">
        <v>305</v>
      </c>
      <c r="C13" s="98"/>
      <c r="D13" s="99"/>
      <c r="E13" s="103"/>
      <c r="F13" s="82">
        <v>1</v>
      </c>
      <c r="G13" s="82">
        <v>0</v>
      </c>
      <c r="H13" s="83">
        <f t="shared" si="2"/>
        <v>0</v>
      </c>
      <c r="I13" s="101"/>
      <c r="J13" s="101"/>
      <c r="K13" s="82">
        <v>1</v>
      </c>
      <c r="L13" s="82">
        <v>0</v>
      </c>
      <c r="M13" s="83">
        <f t="shared" si="3"/>
        <v>0</v>
      </c>
      <c r="N13" s="160" t="s">
        <v>412</v>
      </c>
      <c r="O13" s="161"/>
      <c r="P13" t="s">
        <v>424</v>
      </c>
    </row>
    <row r="14" spans="1:17" ht="119.25" customHeight="1" x14ac:dyDescent="0.45">
      <c r="A14" s="77">
        <v>10</v>
      </c>
      <c r="B14" s="102" t="s">
        <v>311</v>
      </c>
      <c r="C14" s="79" t="s">
        <v>312</v>
      </c>
      <c r="D14" s="86" t="s">
        <v>313</v>
      </c>
      <c r="E14" s="81" t="s">
        <v>314</v>
      </c>
      <c r="F14" s="82">
        <v>1</v>
      </c>
      <c r="G14" s="82">
        <v>5</v>
      </c>
      <c r="H14" s="83">
        <f t="shared" si="2"/>
        <v>5</v>
      </c>
      <c r="I14" s="89" t="s">
        <v>309</v>
      </c>
      <c r="J14" s="85" t="s">
        <v>315</v>
      </c>
      <c r="K14" s="82">
        <v>1</v>
      </c>
      <c r="L14" s="82">
        <v>3</v>
      </c>
      <c r="M14" s="83">
        <f t="shared" si="3"/>
        <v>3</v>
      </c>
      <c r="N14" s="160" t="s">
        <v>412</v>
      </c>
      <c r="O14" s="161"/>
      <c r="P14" t="s">
        <v>424</v>
      </c>
    </row>
    <row r="15" spans="1:17" ht="36" hidden="1" customHeight="1" x14ac:dyDescent="0.45">
      <c r="A15" s="77">
        <v>11</v>
      </c>
      <c r="B15" s="102" t="s">
        <v>316</v>
      </c>
      <c r="C15" s="98"/>
      <c r="D15" s="99"/>
      <c r="E15" s="103"/>
      <c r="F15" s="82">
        <v>1</v>
      </c>
      <c r="G15" s="82">
        <v>0</v>
      </c>
      <c r="H15" s="83">
        <f t="shared" si="2"/>
        <v>0</v>
      </c>
      <c r="I15" s="89" t="s">
        <v>309</v>
      </c>
      <c r="J15" s="101"/>
      <c r="K15" s="82">
        <v>1</v>
      </c>
      <c r="L15" s="82">
        <v>4</v>
      </c>
      <c r="M15" s="83">
        <f t="shared" si="3"/>
        <v>4</v>
      </c>
      <c r="N15" s="160" t="s">
        <v>412</v>
      </c>
      <c r="O15" s="161"/>
      <c r="P15" t="s">
        <v>424</v>
      </c>
    </row>
    <row r="16" spans="1:17" ht="62.25" customHeight="1" x14ac:dyDescent="0.45">
      <c r="A16" s="77">
        <v>12</v>
      </c>
      <c r="B16" s="97" t="s">
        <v>317</v>
      </c>
      <c r="C16" s="79" t="s">
        <v>318</v>
      </c>
      <c r="D16" s="86" t="s">
        <v>319</v>
      </c>
      <c r="E16" s="81" t="s">
        <v>320</v>
      </c>
      <c r="F16" s="82">
        <v>1</v>
      </c>
      <c r="G16" s="82">
        <v>5</v>
      </c>
      <c r="H16" s="83">
        <f t="shared" si="2"/>
        <v>5</v>
      </c>
      <c r="I16" s="89" t="s">
        <v>309</v>
      </c>
      <c r="J16" s="85" t="s">
        <v>310</v>
      </c>
      <c r="K16" s="82">
        <v>1</v>
      </c>
      <c r="L16" s="82">
        <v>3</v>
      </c>
      <c r="M16" s="83">
        <f t="shared" si="3"/>
        <v>3</v>
      </c>
      <c r="N16" s="160" t="s">
        <v>412</v>
      </c>
      <c r="O16" s="161"/>
      <c r="P16" t="s">
        <v>424</v>
      </c>
    </row>
    <row r="17" spans="1:16" ht="36" hidden="1" customHeight="1" x14ac:dyDescent="0.45">
      <c r="A17" s="77">
        <v>13</v>
      </c>
      <c r="B17" s="102"/>
      <c r="C17" s="98"/>
      <c r="D17" s="99"/>
      <c r="E17" s="103"/>
      <c r="F17" s="82">
        <v>1</v>
      </c>
      <c r="G17" s="82">
        <v>0</v>
      </c>
      <c r="H17" s="83">
        <f t="shared" si="2"/>
        <v>0</v>
      </c>
      <c r="I17" s="89" t="s">
        <v>309</v>
      </c>
      <c r="J17" s="101"/>
      <c r="K17" s="82">
        <v>1</v>
      </c>
      <c r="L17" s="82">
        <v>4</v>
      </c>
      <c r="M17" s="83">
        <f t="shared" si="3"/>
        <v>4</v>
      </c>
      <c r="N17" s="160" t="s">
        <v>412</v>
      </c>
      <c r="O17" s="161"/>
      <c r="P17" t="s">
        <v>424</v>
      </c>
    </row>
    <row r="18" spans="1:16" ht="114" customHeight="1" x14ac:dyDescent="0.45">
      <c r="A18" s="77">
        <v>14</v>
      </c>
      <c r="B18" s="97" t="s">
        <v>321</v>
      </c>
      <c r="C18" s="79" t="s">
        <v>322</v>
      </c>
      <c r="D18" s="86" t="s">
        <v>323</v>
      </c>
      <c r="E18" s="81" t="s">
        <v>324</v>
      </c>
      <c r="F18" s="82">
        <v>1</v>
      </c>
      <c r="G18" s="82">
        <v>3</v>
      </c>
      <c r="H18" s="83">
        <f t="shared" si="2"/>
        <v>3</v>
      </c>
      <c r="I18" s="89" t="s">
        <v>309</v>
      </c>
      <c r="J18" s="85" t="s">
        <v>310</v>
      </c>
      <c r="K18" s="82">
        <v>1</v>
      </c>
      <c r="L18" s="82">
        <v>3</v>
      </c>
      <c r="M18" s="83">
        <f t="shared" si="3"/>
        <v>3</v>
      </c>
      <c r="N18" s="160" t="s">
        <v>412</v>
      </c>
      <c r="O18" s="161"/>
      <c r="P18" t="s">
        <v>424</v>
      </c>
    </row>
    <row r="19" spans="1:16" ht="36" hidden="1" customHeight="1" x14ac:dyDescent="0.45">
      <c r="A19" s="77">
        <v>15</v>
      </c>
      <c r="B19" s="102"/>
      <c r="C19" s="98"/>
      <c r="D19" s="99"/>
      <c r="E19" s="103"/>
      <c r="F19" s="82">
        <v>1</v>
      </c>
      <c r="G19" s="82">
        <v>0</v>
      </c>
      <c r="H19" s="83">
        <f t="shared" si="2"/>
        <v>0</v>
      </c>
      <c r="I19" s="89" t="s">
        <v>309</v>
      </c>
      <c r="J19" s="101"/>
      <c r="K19" s="82">
        <v>1</v>
      </c>
      <c r="L19" s="82">
        <v>4</v>
      </c>
      <c r="M19" s="83">
        <f t="shared" si="3"/>
        <v>4</v>
      </c>
      <c r="N19" s="160" t="s">
        <v>412</v>
      </c>
      <c r="O19" s="161"/>
      <c r="P19" t="s">
        <v>424</v>
      </c>
    </row>
    <row r="20" spans="1:16" ht="36" hidden="1" customHeight="1" x14ac:dyDescent="0.45">
      <c r="A20" s="77">
        <v>16</v>
      </c>
      <c r="B20" s="102"/>
      <c r="C20" s="98"/>
      <c r="D20" s="99"/>
      <c r="E20" s="103"/>
      <c r="F20" s="82">
        <v>1</v>
      </c>
      <c r="G20" s="82">
        <v>0</v>
      </c>
      <c r="H20" s="83">
        <f t="shared" si="2"/>
        <v>0</v>
      </c>
      <c r="I20" s="89" t="s">
        <v>309</v>
      </c>
      <c r="J20" s="101"/>
      <c r="K20" s="82">
        <v>1</v>
      </c>
      <c r="L20" s="82">
        <v>4</v>
      </c>
      <c r="M20" s="83">
        <f t="shared" si="3"/>
        <v>4</v>
      </c>
      <c r="N20" s="160" t="s">
        <v>412</v>
      </c>
      <c r="O20" s="161"/>
      <c r="P20" t="s">
        <v>424</v>
      </c>
    </row>
    <row r="21" spans="1:16" ht="98.25" customHeight="1" x14ac:dyDescent="0.45">
      <c r="A21" s="77">
        <v>17</v>
      </c>
      <c r="B21" s="97" t="s">
        <v>325</v>
      </c>
      <c r="C21" s="79" t="s">
        <v>326</v>
      </c>
      <c r="D21" s="86" t="s">
        <v>327</v>
      </c>
      <c r="E21" s="104" t="s">
        <v>328</v>
      </c>
      <c r="F21" s="82">
        <v>1</v>
      </c>
      <c r="G21" s="82">
        <v>5</v>
      </c>
      <c r="H21" s="83">
        <f t="shared" si="2"/>
        <v>5</v>
      </c>
      <c r="I21" s="89" t="s">
        <v>309</v>
      </c>
      <c r="J21" s="85" t="s">
        <v>329</v>
      </c>
      <c r="K21" s="82">
        <v>1</v>
      </c>
      <c r="L21" s="82">
        <v>3</v>
      </c>
      <c r="M21" s="83">
        <f t="shared" si="3"/>
        <v>3</v>
      </c>
      <c r="N21" s="160" t="s">
        <v>414</v>
      </c>
      <c r="O21" s="161"/>
      <c r="P21" t="s">
        <v>424</v>
      </c>
    </row>
    <row r="22" spans="1:16" ht="26.25" hidden="1" customHeight="1" x14ac:dyDescent="0.45">
      <c r="A22" s="77">
        <v>18</v>
      </c>
      <c r="B22" s="102"/>
      <c r="C22" s="98"/>
      <c r="D22" s="99"/>
      <c r="E22" s="103"/>
      <c r="F22" s="82">
        <v>1</v>
      </c>
      <c r="G22" s="82">
        <v>0</v>
      </c>
      <c r="H22" s="83">
        <f t="shared" si="2"/>
        <v>0</v>
      </c>
      <c r="I22" s="101"/>
      <c r="J22" s="101"/>
      <c r="K22" s="82">
        <v>1</v>
      </c>
      <c r="L22" s="82">
        <v>0</v>
      </c>
      <c r="M22" s="83">
        <f t="shared" si="3"/>
        <v>0</v>
      </c>
    </row>
    <row r="23" spans="1:16" ht="26.25" hidden="1" customHeight="1" x14ac:dyDescent="0.45">
      <c r="A23" s="77">
        <v>19</v>
      </c>
      <c r="B23" s="102"/>
      <c r="C23" s="98"/>
      <c r="D23" s="99"/>
      <c r="E23" s="103"/>
      <c r="F23" s="82">
        <v>1</v>
      </c>
      <c r="G23" s="82">
        <v>0</v>
      </c>
      <c r="H23" s="83">
        <f t="shared" si="2"/>
        <v>0</v>
      </c>
      <c r="I23" s="101"/>
      <c r="J23" s="101"/>
      <c r="K23" s="82">
        <v>1</v>
      </c>
      <c r="L23" s="82">
        <v>0</v>
      </c>
      <c r="M23" s="83">
        <f t="shared" si="3"/>
        <v>0</v>
      </c>
    </row>
    <row r="24" spans="1:16" ht="78" customHeight="1" x14ac:dyDescent="0.45">
      <c r="A24" s="122"/>
      <c r="B24" s="127" t="s">
        <v>364</v>
      </c>
      <c r="C24" s="123"/>
      <c r="D24" s="124"/>
      <c r="E24" s="125"/>
      <c r="F24" s="125"/>
      <c r="G24" s="125"/>
      <c r="H24" s="126"/>
      <c r="I24" s="125"/>
      <c r="J24" s="125"/>
      <c r="K24" s="125"/>
      <c r="L24" s="125"/>
      <c r="M24" s="126"/>
    </row>
    <row r="25" spans="1:16" ht="25.15" x14ac:dyDescent="0.45">
      <c r="A25" s="77">
        <v>20</v>
      </c>
      <c r="B25" s="105" t="s">
        <v>330</v>
      </c>
      <c r="C25" s="98"/>
      <c r="D25" s="99"/>
      <c r="E25" s="100"/>
      <c r="F25" s="106"/>
      <c r="G25" s="106"/>
      <c r="H25" s="107"/>
      <c r="I25" s="106"/>
      <c r="J25" s="106"/>
      <c r="K25" s="106"/>
      <c r="L25" s="106"/>
      <c r="M25" s="107"/>
    </row>
    <row r="26" spans="1:16" ht="206.25" customHeight="1" x14ac:dyDescent="0.45">
      <c r="A26" s="77">
        <v>21</v>
      </c>
      <c r="B26" s="108" t="s">
        <v>361</v>
      </c>
      <c r="C26" s="109" t="s">
        <v>331</v>
      </c>
      <c r="D26" s="110" t="s">
        <v>332</v>
      </c>
      <c r="E26" s="111" t="s">
        <v>333</v>
      </c>
      <c r="F26" s="82">
        <v>1</v>
      </c>
      <c r="G26" s="82">
        <v>5</v>
      </c>
      <c r="H26" s="83">
        <f t="shared" ref="H26:H28" si="4">F26*G26</f>
        <v>5</v>
      </c>
      <c r="I26" s="89" t="s">
        <v>334</v>
      </c>
      <c r="J26" s="85" t="s">
        <v>335</v>
      </c>
      <c r="K26" s="82">
        <v>1</v>
      </c>
      <c r="L26" s="82">
        <v>4</v>
      </c>
      <c r="M26" s="83">
        <f t="shared" ref="M26:M28" si="5">K26*L26</f>
        <v>4</v>
      </c>
      <c r="N26" s="160" t="s">
        <v>412</v>
      </c>
      <c r="O26" s="161"/>
      <c r="P26" t="s">
        <v>424</v>
      </c>
    </row>
    <row r="27" spans="1:16" ht="207" customHeight="1" x14ac:dyDescent="0.45">
      <c r="A27" s="77">
        <v>22</v>
      </c>
      <c r="B27" s="108" t="s">
        <v>362</v>
      </c>
      <c r="C27" s="109" t="s">
        <v>336</v>
      </c>
      <c r="D27" s="110" t="s">
        <v>337</v>
      </c>
      <c r="E27" s="111" t="s">
        <v>338</v>
      </c>
      <c r="F27" s="82">
        <v>1</v>
      </c>
      <c r="G27" s="82">
        <v>5</v>
      </c>
      <c r="H27" s="83">
        <f t="shared" si="4"/>
        <v>5</v>
      </c>
      <c r="I27" s="89" t="s">
        <v>339</v>
      </c>
      <c r="J27" s="85" t="s">
        <v>335</v>
      </c>
      <c r="K27" s="82">
        <v>1</v>
      </c>
      <c r="L27" s="82">
        <v>4</v>
      </c>
      <c r="M27" s="83">
        <f t="shared" si="5"/>
        <v>4</v>
      </c>
      <c r="N27" s="160" t="s">
        <v>412</v>
      </c>
      <c r="O27" s="161"/>
      <c r="P27" t="s">
        <v>424</v>
      </c>
    </row>
    <row r="28" spans="1:16" ht="158.25" x14ac:dyDescent="0.45">
      <c r="A28" s="77">
        <v>23</v>
      </c>
      <c r="B28" s="108" t="s">
        <v>363</v>
      </c>
      <c r="C28" s="109" t="s">
        <v>340</v>
      </c>
      <c r="D28" s="86" t="s">
        <v>341</v>
      </c>
      <c r="E28" s="111" t="s">
        <v>342</v>
      </c>
      <c r="F28" s="82">
        <v>2</v>
      </c>
      <c r="G28" s="82">
        <v>2</v>
      </c>
      <c r="H28" s="83">
        <f t="shared" si="4"/>
        <v>4</v>
      </c>
      <c r="I28" s="89" t="s">
        <v>343</v>
      </c>
      <c r="J28" s="89" t="s">
        <v>344</v>
      </c>
      <c r="K28" s="82">
        <v>1</v>
      </c>
      <c r="L28" s="82">
        <v>4</v>
      </c>
      <c r="M28" s="83">
        <f t="shared" si="5"/>
        <v>4</v>
      </c>
      <c r="N28" s="160" t="s">
        <v>412</v>
      </c>
      <c r="O28" s="161"/>
      <c r="P28" t="s">
        <v>424</v>
      </c>
    </row>
    <row r="29" spans="1:16" ht="25.15" x14ac:dyDescent="0.45">
      <c r="A29" s="77">
        <v>24</v>
      </c>
      <c r="B29" s="112" t="s">
        <v>345</v>
      </c>
      <c r="C29" s="98"/>
      <c r="D29" s="98"/>
      <c r="E29" s="100"/>
      <c r="F29" s="106"/>
      <c r="G29" s="106"/>
      <c r="H29" s="107"/>
      <c r="I29" s="106"/>
      <c r="J29" s="106"/>
      <c r="K29" s="106"/>
      <c r="L29" s="106"/>
      <c r="M29" s="107"/>
      <c r="N29" s="160" t="s">
        <v>412</v>
      </c>
      <c r="O29" s="161"/>
      <c r="P29" t="s">
        <v>424</v>
      </c>
    </row>
    <row r="30" spans="1:16" ht="333.75" customHeight="1" x14ac:dyDescent="0.45">
      <c r="A30" s="77">
        <v>25</v>
      </c>
      <c r="B30" s="113" t="s">
        <v>346</v>
      </c>
      <c r="C30" s="98" t="s">
        <v>365</v>
      </c>
      <c r="D30" s="142" t="s">
        <v>366</v>
      </c>
      <c r="E30" s="111" t="s">
        <v>347</v>
      </c>
      <c r="F30" s="82">
        <v>1</v>
      </c>
      <c r="G30" s="82">
        <v>5</v>
      </c>
      <c r="H30" s="83">
        <f>F30*G30</f>
        <v>5</v>
      </c>
      <c r="I30" s="89" t="s">
        <v>339</v>
      </c>
      <c r="J30" s="85" t="s">
        <v>335</v>
      </c>
      <c r="K30" s="82">
        <v>1</v>
      </c>
      <c r="L30" s="82">
        <v>4</v>
      </c>
      <c r="M30" s="83">
        <f>K30*L30</f>
        <v>4</v>
      </c>
      <c r="N30" s="160" t="s">
        <v>415</v>
      </c>
      <c r="O30" s="161"/>
      <c r="P30" t="s">
        <v>424</v>
      </c>
    </row>
    <row r="31" spans="1:16" ht="216.75" customHeight="1" x14ac:dyDescent="0.45">
      <c r="A31" s="77">
        <v>26</v>
      </c>
      <c r="B31" s="114" t="s">
        <v>348</v>
      </c>
      <c r="C31" s="98" t="s">
        <v>365</v>
      </c>
      <c r="D31" s="142" t="s">
        <v>366</v>
      </c>
      <c r="E31" s="111" t="s">
        <v>349</v>
      </c>
      <c r="F31" s="82">
        <v>1</v>
      </c>
      <c r="G31" s="82">
        <v>5</v>
      </c>
      <c r="H31" s="83">
        <f>F31*G31</f>
        <v>5</v>
      </c>
      <c r="I31" s="89" t="s">
        <v>339</v>
      </c>
      <c r="J31" s="85" t="s">
        <v>335</v>
      </c>
      <c r="K31" s="82">
        <v>1</v>
      </c>
      <c r="L31" s="82">
        <v>4</v>
      </c>
      <c r="M31" s="83">
        <f>K31*L31</f>
        <v>4</v>
      </c>
      <c r="N31" s="160" t="s">
        <v>415</v>
      </c>
      <c r="O31" s="161"/>
      <c r="P31" t="s">
        <v>424</v>
      </c>
    </row>
    <row r="32" spans="1:16" ht="200.65" x14ac:dyDescent="0.45">
      <c r="A32" s="77">
        <v>27</v>
      </c>
      <c r="B32" s="108" t="s">
        <v>350</v>
      </c>
      <c r="C32" s="98" t="s">
        <v>367</v>
      </c>
      <c r="D32" s="80" t="s">
        <v>368</v>
      </c>
      <c r="E32" s="116" t="s">
        <v>351</v>
      </c>
      <c r="F32" s="82">
        <v>1</v>
      </c>
      <c r="G32" s="82">
        <v>3</v>
      </c>
      <c r="H32" s="83">
        <f t="shared" ref="H32:H35" si="6">F32*G32</f>
        <v>3</v>
      </c>
      <c r="I32" s="89" t="s">
        <v>352</v>
      </c>
      <c r="J32" s="85" t="s">
        <v>335</v>
      </c>
      <c r="K32" s="82">
        <v>1</v>
      </c>
      <c r="L32" s="82">
        <v>4</v>
      </c>
      <c r="M32" s="83">
        <f t="shared" ref="M32:M35" si="7">K32*L32</f>
        <v>4</v>
      </c>
      <c r="N32" s="160" t="s">
        <v>412</v>
      </c>
      <c r="O32" s="161"/>
      <c r="P32" t="s">
        <v>424</v>
      </c>
    </row>
    <row r="33" spans="1:16" ht="230.65" x14ac:dyDescent="0.45">
      <c r="A33" s="77">
        <v>28</v>
      </c>
      <c r="B33" s="113" t="s">
        <v>353</v>
      </c>
      <c r="C33" s="98" t="s">
        <v>369</v>
      </c>
      <c r="D33" s="142" t="s">
        <v>370</v>
      </c>
      <c r="E33" s="116" t="s">
        <v>354</v>
      </c>
      <c r="F33" s="82">
        <v>1</v>
      </c>
      <c r="G33" s="82">
        <v>5</v>
      </c>
      <c r="H33" s="83">
        <f t="shared" si="6"/>
        <v>5</v>
      </c>
      <c r="I33" s="89" t="s">
        <v>339</v>
      </c>
      <c r="J33" s="85" t="s">
        <v>335</v>
      </c>
      <c r="K33" s="82">
        <v>1</v>
      </c>
      <c r="L33" s="82">
        <v>4</v>
      </c>
      <c r="M33" s="83">
        <f t="shared" si="7"/>
        <v>4</v>
      </c>
      <c r="N33" s="160" t="s">
        <v>412</v>
      </c>
      <c r="O33" s="161"/>
      <c r="P33" t="s">
        <v>424</v>
      </c>
    </row>
    <row r="34" spans="1:16" ht="23.25" hidden="1" x14ac:dyDescent="0.45">
      <c r="A34" s="77">
        <v>29</v>
      </c>
      <c r="B34" s="117"/>
      <c r="C34" s="115"/>
      <c r="D34" s="115"/>
      <c r="E34" s="115"/>
      <c r="F34" s="82">
        <v>1</v>
      </c>
      <c r="G34" s="82">
        <v>0</v>
      </c>
      <c r="H34" s="118">
        <f t="shared" si="6"/>
        <v>0</v>
      </c>
      <c r="I34" s="101"/>
      <c r="J34" s="101"/>
      <c r="K34" s="82">
        <v>1</v>
      </c>
      <c r="L34" s="82">
        <v>0</v>
      </c>
      <c r="M34" s="118">
        <f t="shared" si="7"/>
        <v>0</v>
      </c>
    </row>
    <row r="35" spans="1:16" ht="23.25" hidden="1" x14ac:dyDescent="0.45">
      <c r="A35" s="77">
        <v>30</v>
      </c>
      <c r="B35" s="117"/>
      <c r="C35" s="115"/>
      <c r="D35" s="115"/>
      <c r="E35" s="115"/>
      <c r="F35" s="82">
        <v>1</v>
      </c>
      <c r="G35" s="82">
        <v>0</v>
      </c>
      <c r="H35" s="118">
        <f t="shared" si="6"/>
        <v>0</v>
      </c>
      <c r="I35" s="101"/>
      <c r="J35" s="101"/>
      <c r="K35" s="82">
        <v>1</v>
      </c>
      <c r="L35" s="82">
        <v>0</v>
      </c>
      <c r="M35" s="118">
        <f t="shared" si="7"/>
        <v>0</v>
      </c>
    </row>
  </sheetData>
  <mergeCells count="28">
    <mergeCell ref="N21:O21"/>
    <mergeCell ref="N26:O26"/>
    <mergeCell ref="N27:O27"/>
    <mergeCell ref="P2:Q2"/>
    <mergeCell ref="P6:Q6"/>
    <mergeCell ref="N6:O6"/>
    <mergeCell ref="N7:O7"/>
    <mergeCell ref="N8:O8"/>
    <mergeCell ref="N12:O12"/>
    <mergeCell ref="N14:O14"/>
    <mergeCell ref="B1:F1"/>
    <mergeCell ref="N2:O2"/>
    <mergeCell ref="N3:O3"/>
    <mergeCell ref="N4:O4"/>
    <mergeCell ref="N5:O5"/>
    <mergeCell ref="N28:O28"/>
    <mergeCell ref="N30:O30"/>
    <mergeCell ref="N31:O31"/>
    <mergeCell ref="N32:O32"/>
    <mergeCell ref="N33:O33"/>
    <mergeCell ref="N29:O29"/>
    <mergeCell ref="N13:O13"/>
    <mergeCell ref="N15:O15"/>
    <mergeCell ref="N17:O17"/>
    <mergeCell ref="N19:O19"/>
    <mergeCell ref="N20:O20"/>
    <mergeCell ref="N16:O16"/>
    <mergeCell ref="N18:O18"/>
  </mergeCells>
  <conditionalFormatting sqref="H3:H8 H26:H28 M26:M28 H30:H35 M30:M35">
    <cfRule type="cellIs" dxfId="11" priority="10" operator="greaterThan">
      <formula>5</formula>
    </cfRule>
    <cfRule type="cellIs" dxfId="10" priority="11" operator="lessThan">
      <formula>4</formula>
    </cfRule>
    <cfRule type="cellIs" dxfId="9" priority="12" operator="between">
      <formula>4</formula>
      <formula>5</formula>
    </cfRule>
  </conditionalFormatting>
  <conditionalFormatting sqref="H10:H23">
    <cfRule type="cellIs" dxfId="8" priority="7" operator="greaterThan">
      <formula>5</formula>
    </cfRule>
    <cfRule type="cellIs" dxfId="7" priority="8" operator="lessThan">
      <formula>4</formula>
    </cfRule>
    <cfRule type="cellIs" dxfId="6" priority="9" operator="between">
      <formula>4</formula>
      <formula>5</formula>
    </cfRule>
  </conditionalFormatting>
  <conditionalFormatting sqref="M3:M8">
    <cfRule type="cellIs" dxfId="5" priority="4" operator="greaterThan">
      <formula>5</formula>
    </cfRule>
    <cfRule type="cellIs" dxfId="4" priority="5" operator="lessThan">
      <formula>4</formula>
    </cfRule>
    <cfRule type="cellIs" dxfId="3" priority="6" operator="between">
      <formula>4</formula>
      <formula>5</formula>
    </cfRule>
  </conditionalFormatting>
  <conditionalFormatting sqref="M10:M23">
    <cfRule type="cellIs" dxfId="2" priority="1" operator="greaterThan">
      <formula>5</formula>
    </cfRule>
    <cfRule type="cellIs" dxfId="1" priority="2" operator="lessThan">
      <formula>4</formula>
    </cfRule>
    <cfRule type="cellIs" dxfId="0" priority="3" operator="between">
      <formula>4</formula>
      <formula>5</formula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Interesseparter-risiko</vt:lpstr>
      <vt:lpstr>Interne og eksterne forhold</vt:lpstr>
      <vt:lpstr>PROSESSER</vt:lpstr>
    </vt:vector>
  </TitlesOfParts>
  <Company>Norsk Elektroniske Komite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Hesselroth</dc:creator>
  <cp:lastModifiedBy>Tommy Larsen</cp:lastModifiedBy>
  <cp:lastPrinted>2018-01-12T15:05:42Z</cp:lastPrinted>
  <dcterms:created xsi:type="dcterms:W3CDTF">2016-10-06T07:24:25Z</dcterms:created>
  <dcterms:modified xsi:type="dcterms:W3CDTF">2024-10-18T09:00:00Z</dcterms:modified>
</cp:coreProperties>
</file>